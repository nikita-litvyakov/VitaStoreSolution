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TCO" sheetId="2" state="visible" r:id="rId4"/>
    <sheet name="Окупаемость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<sst xmlns="http://schemas.openxmlformats.org/spreadsheetml/2006/main" count="200" uniqueCount="158">
  <si>
    <t xml:space="preserve">Допущения расчёта TCO (100 магазинов, 3 года). Синие числа — вводные, их можно менять; остальное пересчитается.</t>
  </si>
  <si>
    <t xml:space="preserve">Параметр</t>
  </si>
  <si>
    <t xml:space="preserve">Значение</t>
  </si>
  <si>
    <t xml:space="preserve">Ед.</t>
  </si>
  <si>
    <t xml:space="preserve">Логика / источник</t>
  </si>
  <si>
    <t xml:space="preserve">Структура</t>
  </si>
  <si>
    <t xml:space="preserve">Магазинов в расчёте</t>
  </si>
  <si>
    <t xml:space="preserve">шт.</t>
  </si>
  <si>
    <t xml:space="preserve">Условие задания 4</t>
  </si>
  <si>
    <t xml:space="preserve">Магазинов в сети</t>
  </si>
  <si>
    <t xml:space="preserve">info.md: «более 500 магазинов»</t>
  </si>
  <si>
    <t xml:space="preserve">Касс (и терминалов) в магазине</t>
  </si>
  <si>
    <t xml:space="preserve">Допущение: дрогери у дома, небольшой формат</t>
  </si>
  <si>
    <t xml:space="preserve">Срок службы сервера и ПК кассы</t>
  </si>
  <si>
    <t xml:space="preserve">лет</t>
  </si>
  <si>
    <t xml:space="preserve">Допущение: типичный цикл замены → 20% парка в год</t>
  </si>
  <si>
    <t xml:space="preserve">Срок раскатки To-Be</t>
  </si>
  <si>
    <t xml:space="preserve">мес.</t>
  </si>
  <si>
    <t xml:space="preserve">Цель «финальное состояние через год» (business_target.md); равномерно</t>
  </si>
  <si>
    <t xml:space="preserve">Доля магазино-месяцев на To-Be в год 1</t>
  </si>
  <si>
    <t xml:space="preserve">доля</t>
  </si>
  <si>
    <t xml:space="preserve">Формула: при равномерной раскатке за N мес. = (N+1)/(2N)</t>
  </si>
  <si>
    <t xml:space="preserve">As-Is: цены и ставки</t>
  </si>
  <si>
    <t xml:space="preserve">Сервер магазина</t>
  </si>
  <si>
    <t xml:space="preserve">₽/шт.</t>
  </si>
  <si>
    <t xml:space="preserve">Допущение: сервер начального уровня / мощный ПК с RAID</t>
  </si>
  <si>
    <t xml:space="preserve">ПК кассы («толстый» клиент)</t>
  </si>
  <si>
    <t xml:space="preserve">Допущение: POS-моноблок</t>
  </si>
  <si>
    <t xml:space="preserve">Windows Server к новому серверу</t>
  </si>
  <si>
    <t xml:space="preserve">Допущение: лицензия Standard + CAL</t>
  </si>
  <si>
    <t xml:space="preserve">Лицензия SQL Server</t>
  </si>
  <si>
    <t xml:space="preserve">Не учитываем (консервативно): часть магазинов на PostgreSQL, доля неизвестна; в артефакте 1 — бесплатный SQL Express, в info.md — платный SQL</t>
  </si>
  <si>
    <t xml:space="preserve">Резервное копирование и антивирус сервера</t>
  </si>
  <si>
    <t xml:space="preserve">₽/магазин/год</t>
  </si>
  <si>
    <t xml:space="preserve">Допущение</t>
  </si>
  <si>
    <t xml:space="preserve">Сопровождение кассового ПО и драйверов</t>
  </si>
  <si>
    <t xml:space="preserve">₽/касса/год</t>
  </si>
  <si>
    <t xml:space="preserve">Допущение; новый драйвер — 3 недели разработки (INC-8415)</t>
  </si>
  <si>
    <t xml:space="preserve">Инженеры поддержки серверов</t>
  </si>
  <si>
    <t xml:space="preserve">чел. на 100 маг.</t>
  </si>
  <si>
    <t xml:space="preserve">Допущение: ≈ 25 серверов на инженера; 40% ИТ-бюджета — на серверы (tasks/1.md)</t>
  </si>
  <si>
    <t xml:space="preserve">Стоимость инженера с налогами</t>
  </si>
  <si>
    <t xml:space="preserve">₽/мес.</t>
  </si>
  <si>
    <t xml:space="preserve">Допущение: рынок 2026 г.</t>
  </si>
  <si>
    <t xml:space="preserve">Выездов на магазин в год</t>
  </si>
  <si>
    <t xml:space="preserve">Допущение: отказы сервера и обслуживание (INC-8433)</t>
  </si>
  <si>
    <t xml:space="preserve">Стоимость выезда (дорога, суточные, гостиница)</t>
  </si>
  <si>
    <t xml:space="preserve">₽</t>
  </si>
  <si>
    <t xml:space="preserve">Допущение: 1–2 дня командировки</t>
  </si>
  <si>
    <t xml:space="preserve">Основной канал связи</t>
  </si>
  <si>
    <t xml:space="preserve">To-Be: цены и ставки</t>
  </si>
  <si>
    <t xml:space="preserve">Облачная касса (SaaS)</t>
  </si>
  <si>
    <t xml:space="preserve">₽/касса/мес.</t>
  </si>
  <si>
    <t xml:space="preserve">Допущение: рынок облачных касс</t>
  </si>
  <si>
    <t xml:space="preserve">Payment Gateway + HAL-агент (SaaS)</t>
  </si>
  <si>
    <t xml:space="preserve">₽/терминал/мес.</t>
  </si>
  <si>
    <t xml:space="preserve">Платформа лояльности (SaaS)</t>
  </si>
  <si>
    <t xml:space="preserve">₽/магазин/мес.</t>
  </si>
  <si>
    <t xml:space="preserve">Допущение; в As-Is лояльность внутри SAP — удорожание To-Be</t>
  </si>
  <si>
    <t xml:space="preserve">Управление планшетами (MDM, SaaS)</t>
  </si>
  <si>
    <t xml:space="preserve">₽/планшет/мес.</t>
  </si>
  <si>
    <t xml:space="preserve">Интеграционный слой (PaaS) на всю сеть</t>
  </si>
  <si>
    <t xml:space="preserve">Допущение; на 100 магазинов — доля stores/network</t>
  </si>
  <si>
    <t xml:space="preserve">Планшет</t>
  </si>
  <si>
    <t xml:space="preserve">Поломка планшетов в год</t>
  </si>
  <si>
    <t xml:space="preserve">Подменный фонд планшетов</t>
  </si>
  <si>
    <t xml:space="preserve">Допущение: замена курьером вместо ремонта</t>
  </si>
  <si>
    <t xml:space="preserve">Роутер с резервным LTE</t>
  </si>
  <si>
    <t xml:space="preserve">₽/магазин</t>
  </si>
  <si>
    <t xml:space="preserve">Резервный канал LTE</t>
  </si>
  <si>
    <t xml:space="preserve">Инженеры поддержки HQ</t>
  </si>
  <si>
    <t xml:space="preserve">Допущение: серверов нет, планшеты настраиваются удалённо (MDM)</t>
  </si>
  <si>
    <t xml:space="preserve">Вызовов подрядчика на магазин в год</t>
  </si>
  <si>
    <t xml:space="preserve">Вызов регионального подрядчика</t>
  </si>
  <si>
    <t xml:space="preserve">Допущение: без командировки</t>
  </si>
  <si>
    <t xml:space="preserve">Отправок подменного планшета на магазин в год</t>
  </si>
  <si>
    <t xml:space="preserve">Курьерская отправка</t>
  </si>
  <si>
    <t xml:space="preserve">To-Be: разовые затраты перехода</t>
  </si>
  <si>
    <t xml:space="preserve">Монтаж подрядчиком</t>
  </si>
  <si>
    <t xml:space="preserve">Обучение кассиров</t>
  </si>
  <si>
    <t xml:space="preserve">Проект внедрения: интеграция с SAP, контракт со шлюзом, пилот</t>
  </si>
  <si>
    <t xml:space="preserve">₽ на 100 маг.</t>
  </si>
  <si>
    <t xml:space="preserve">Допущение: доля проекта на всю сеть</t>
  </si>
  <si>
    <t xml:space="preserve">Разовые затраты на один магазин</t>
  </si>
  <si>
    <t xml:space="preserve">Формула: планшеты с подменным фондом + роутер + монтаж + обучение</t>
  </si>
  <si>
    <t xml:space="preserve">TCO инфраструктуры 100 магазинов: As-Is vs To-Be, ₽</t>
  </si>
  <si>
    <t xml:space="preserve">To-Be, год 1 = As-Is в год × (1 − доля) + To-Be в год × доля, где доля — магазино-месяцы на To-Be при раскатке за 12 мес.; разовые затраты — в год 1.</t>
  </si>
  <si>
    <t xml:space="preserve">Статья</t>
  </si>
  <si>
    <t xml:space="preserve">As-Is, в год</t>
  </si>
  <si>
    <t xml:space="preserve">To-Be, в год после раскатки</t>
  </si>
  <si>
    <t xml:space="preserve">As-Is · Год 1</t>
  </si>
  <si>
    <t xml:space="preserve">As-Is · Год 2</t>
  </si>
  <si>
    <t xml:space="preserve">As-Is · Год 3</t>
  </si>
  <si>
    <t xml:space="preserve">As-Is · 3 года</t>
  </si>
  <si>
    <t xml:space="preserve">To-Be · Год 1</t>
  </si>
  <si>
    <t xml:space="preserve">To-Be · Год 2</t>
  </si>
  <si>
    <t xml:space="preserve">To-Be · Год 3</t>
  </si>
  <si>
    <t xml:space="preserve">To-Be · 3 года</t>
  </si>
  <si>
    <t xml:space="preserve">Формула годовой величины</t>
  </si>
  <si>
    <t xml:space="preserve">Оборудование (CapEx)</t>
  </si>
  <si>
    <t xml:space="preserve">Замена серверов (износ)</t>
  </si>
  <si>
    <t xml:space="preserve">магазины / срок службы × цена сервера</t>
  </si>
  <si>
    <t xml:space="preserve">Замена ПК касс (износ)</t>
  </si>
  <si>
    <t xml:space="preserve">кассы / срок службы × цена ПК</t>
  </si>
  <si>
    <t xml:space="preserve">Замена сломанных планшетов</t>
  </si>
  <si>
    <t xml:space="preserve">планшеты × доля поломок × цена</t>
  </si>
  <si>
    <t xml:space="preserve">Лицензии и подписки (OpEx)</t>
  </si>
  <si>
    <t xml:space="preserve">Windows Server к новым серверам</t>
  </si>
  <si>
    <t xml:space="preserve">новые серверы × лицензия</t>
  </si>
  <si>
    <t xml:space="preserve">SQL Server (не учитываем)</t>
  </si>
  <si>
    <t xml:space="preserve">новые серверы × лицензия SQL (= 0, консервативно)</t>
  </si>
  <si>
    <t xml:space="preserve">Резервное копирование и антивирус</t>
  </si>
  <si>
    <t xml:space="preserve">магазины × ставка</t>
  </si>
  <si>
    <t xml:space="preserve">кассы × ставка</t>
  </si>
  <si>
    <t xml:space="preserve">кассы × ₽/мес × 12</t>
  </si>
  <si>
    <t xml:space="preserve">терминалы × ₽/мес × 12</t>
  </si>
  <si>
    <t xml:space="preserve">магазины × ₽/мес × 12</t>
  </si>
  <si>
    <t xml:space="preserve">MDM планшетов (SaaS)</t>
  </si>
  <si>
    <t xml:space="preserve">планшеты × ₽/мес × 12</t>
  </si>
  <si>
    <t xml:space="preserve">Интеграционный слой (PaaS), доля</t>
  </si>
  <si>
    <t xml:space="preserve">₽/мес × 12 × магазины / магазинов в сети</t>
  </si>
  <si>
    <t xml:space="preserve">ФОТ поддержки</t>
  </si>
  <si>
    <t xml:space="preserve">Инженеры поддержки</t>
  </si>
  <si>
    <t xml:space="preserve">инженеры × ₽/мес × 12</t>
  </si>
  <si>
    <t xml:space="preserve">Выезды и командировки поддержки</t>
  </si>
  <si>
    <t xml:space="preserve">Командировки инженеров HQ</t>
  </si>
  <si>
    <t xml:space="preserve">магазины × выезды × стоимость</t>
  </si>
  <si>
    <t xml:space="preserve">Региональный подрядчик и курьер</t>
  </si>
  <si>
    <t xml:space="preserve">магазины × (вызовы × ставка + отправки × курьер)</t>
  </si>
  <si>
    <t xml:space="preserve">Каналы связи</t>
  </si>
  <si>
    <t xml:space="preserve">Связь магазинов</t>
  </si>
  <si>
    <t xml:space="preserve">магазины × каналы ₽/мес × 12</t>
  </si>
  <si>
    <t xml:space="preserve">Разовые затраты перехода</t>
  </si>
  <si>
    <t xml:space="preserve">Планшеты и подменный фонд</t>
  </si>
  <si>
    <t xml:space="preserve">разово, в год 1</t>
  </si>
  <si>
    <t xml:space="preserve">Роутеры с LTE</t>
  </si>
  <si>
    <t xml:space="preserve">Проект внедрения (доля)</t>
  </si>
  <si>
    <t xml:space="preserve">ИТОГО</t>
  </si>
  <si>
    <t xml:space="preserve">Сводка</t>
  </si>
  <si>
    <t xml:space="preserve">TCO As-Is за 3 года, ₽</t>
  </si>
  <si>
    <t xml:space="preserve">TCO To-Be за 3 года, ₽</t>
  </si>
  <si>
    <t xml:space="preserve">Чистая экономия за 3 года (с учётом разовых затрат), ₽</t>
  </si>
  <si>
    <t xml:space="preserve">Разовые затраты перехода, ₽</t>
  </si>
  <si>
    <t xml:space="preserve">ROI за 3 года (чистая экономия / разовые затраты)</t>
  </si>
  <si>
    <t xml:space="preserve">Годовой TCO после раскатки: снижение</t>
  </si>
  <si>
    <t xml:space="preserve">ИТ-поддержка (ФОТ + выезды) после раскатки: снижение</t>
  </si>
  <si>
    <t xml:space="preserve">Окупаемость (break-even), месяц</t>
  </si>
  <si>
    <t xml:space="preserve">Накопленный денежный поток перехода, ₽ (экономия переведённых магазинов − разовые затраты)</t>
  </si>
  <si>
    <t xml:space="preserve">Месяц окупаемости:</t>
  </si>
  <si>
    <t xml:space="preserve">Экономия переведённого магазина в месяц, ₽</t>
  </si>
  <si>
    <t xml:space="preserve">Месяц</t>
  </si>
  <si>
    <t xml:space="preserve">Переведено в месяце</t>
  </si>
  <si>
    <t xml:space="preserve">Всего переведено</t>
  </si>
  <si>
    <t xml:space="preserve">Разовые затраты</t>
  </si>
  <si>
    <t xml:space="preserve">Экономия</t>
  </si>
  <si>
    <t xml:space="preserve">Денежный поток</t>
  </si>
  <si>
    <t xml:space="preserve">Накоплено</t>
  </si>
  <si>
    <t xml:space="preserve">Окупился в этом месяце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</si>
</sst>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##"/>
    <numFmt numFmtId="166" formatCode="0.0%"/>
    <numFmt numFmtId="167" formatCode="#,##0"/>
    <numFmt numFmtId="168" formatCode="#,##0;\(#,##0\);\-"/>
    <numFmt numFmtId="169" formatCode="0.0%;\(0.0%\);\-"/>
    <numFmt numFmtId="170" formatCode="0"/>
    <numFmt numFmtId="171" formatCode="General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95"/>
  </cols>
  <sheetData>
    <row r="1" customFormat="false" ht="15" hidden="false" customHeight="true" outlineLevel="0" collapsed="false">
      <c r="A1" s="2" t="s">
        <v>0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</row>
    <row r="4" customFormat="false" ht="15" hidden="false" customHeight="true" outlineLevel="0" collapsed="false">
      <c r="A4" s="5" t="s">
        <v>5</v>
      </c>
      <c r="B4" s="6"/>
      <c r="C4" s="7"/>
      <c r="D4" s="7"/>
    </row>
    <row r="5" customFormat="false" ht="15" hidden="false" customHeight="true" outlineLevel="0" collapsed="false">
      <c r="A5" s="8" t="s">
        <v>6</v>
      </c>
      <c r="B5" s="9" t="n">
        <v>100</v>
      </c>
      <c r="C5" s="8" t="s">
        <v>7</v>
      </c>
      <c r="D5" s="8" t="s">
        <v>8</v>
      </c>
    </row>
    <row r="6" customFormat="false" ht="15" hidden="false" customHeight="true" outlineLevel="0" collapsed="false">
      <c r="A6" s="8" t="s">
        <v>9</v>
      </c>
      <c r="B6" s="9" t="n">
        <v>500</v>
      </c>
      <c r="C6" s="8" t="s">
        <v>7</v>
      </c>
      <c r="D6" s="8" t="s">
        <v>10</v>
      </c>
    </row>
    <row r="7" customFormat="false" ht="15" hidden="false" customHeight="true" outlineLevel="0" collapsed="false">
      <c r="A7" s="8" t="s">
        <v>11</v>
      </c>
      <c r="B7" s="9" t="n">
        <v>2</v>
      </c>
      <c r="C7" s="8" t="s">
        <v>7</v>
      </c>
      <c r="D7" s="8" t="s">
        <v>12</v>
      </c>
    </row>
    <row r="8" customFormat="false" ht="15" hidden="false" customHeight="true" outlineLevel="0" collapsed="false">
      <c r="A8" s="8" t="s">
        <v>13</v>
      </c>
      <c r="B8" s="9" t="n">
        <v>5</v>
      </c>
      <c r="C8" s="8" t="s">
        <v>14</v>
      </c>
      <c r="D8" s="8" t="s">
        <v>15</v>
      </c>
    </row>
    <row r="9" customFormat="false" ht="15" hidden="false" customHeight="true" outlineLevel="0" collapsed="false">
      <c r="A9" s="8" t="s">
        <v>16</v>
      </c>
      <c r="B9" s="9" t="n">
        <v>12</v>
      </c>
      <c r="C9" s="8" t="s">
        <v>17</v>
      </c>
      <c r="D9" s="8" t="s">
        <v>18</v>
      </c>
    </row>
    <row r="10" customFormat="false" ht="15" hidden="false" customHeight="true" outlineLevel="0" collapsed="false">
      <c r="A10" s="8" t="s">
        <v>19</v>
      </c>
      <c r="B10" s="10" t="n">
        <f aca="false">(B9+1)/(2*B9)</f>
        <v>0.541666666666667</v>
      </c>
      <c r="C10" s="8" t="s">
        <v>20</v>
      </c>
      <c r="D10" s="8" t="s">
        <v>21</v>
      </c>
    </row>
    <row r="11" customFormat="false" ht="15" hidden="false" customHeight="true" outlineLevel="0" collapsed="false">
      <c r="A11" s="5" t="s">
        <v>22</v>
      </c>
      <c r="B11" s="6"/>
      <c r="C11" s="7"/>
      <c r="D11" s="7"/>
    </row>
    <row r="12" customFormat="false" ht="15" hidden="false" customHeight="true" outlineLevel="0" collapsed="false">
      <c r="A12" s="8" t="s">
        <v>23</v>
      </c>
      <c r="B12" s="11" t="n">
        <v>150000</v>
      </c>
      <c r="C12" s="8" t="s">
        <v>24</v>
      </c>
      <c r="D12" s="8" t="s">
        <v>25</v>
      </c>
    </row>
    <row r="13" customFormat="false" ht="15" hidden="false" customHeight="true" outlineLevel="0" collapsed="false">
      <c r="A13" s="8" t="s">
        <v>26</v>
      </c>
      <c r="B13" s="11" t="n">
        <v>60000</v>
      </c>
      <c r="C13" s="8" t="s">
        <v>24</v>
      </c>
      <c r="D13" s="8" t="s">
        <v>27</v>
      </c>
    </row>
    <row r="14" customFormat="false" ht="15" hidden="false" customHeight="true" outlineLevel="0" collapsed="false">
      <c r="A14" s="8" t="s">
        <v>28</v>
      </c>
      <c r="B14" s="11" t="n">
        <v>120000</v>
      </c>
      <c r="C14" s="8" t="s">
        <v>24</v>
      </c>
      <c r="D14" s="8" t="s">
        <v>29</v>
      </c>
    </row>
    <row r="15" customFormat="false" ht="15" hidden="false" customHeight="true" outlineLevel="0" collapsed="false">
      <c r="A15" s="8" t="s">
        <v>30</v>
      </c>
      <c r="B15" s="11" t="n">
        <v>0</v>
      </c>
      <c r="C15" s="8" t="s">
        <v>24</v>
      </c>
      <c r="D15" s="8" t="s">
        <v>31</v>
      </c>
    </row>
    <row r="16" customFormat="false" ht="15" hidden="false" customHeight="true" outlineLevel="0" collapsed="false">
      <c r="A16" s="8" t="s">
        <v>32</v>
      </c>
      <c r="B16" s="11" t="n">
        <v>8000</v>
      </c>
      <c r="C16" s="8" t="s">
        <v>33</v>
      </c>
      <c r="D16" s="8" t="s">
        <v>34</v>
      </c>
    </row>
    <row r="17" customFormat="false" ht="15" hidden="false" customHeight="true" outlineLevel="0" collapsed="false">
      <c r="A17" s="8" t="s">
        <v>35</v>
      </c>
      <c r="B17" s="11" t="n">
        <v>10000</v>
      </c>
      <c r="C17" s="8" t="s">
        <v>36</v>
      </c>
      <c r="D17" s="8" t="s">
        <v>37</v>
      </c>
    </row>
    <row r="18" customFormat="false" ht="15" hidden="false" customHeight="true" outlineLevel="0" collapsed="false">
      <c r="A18" s="8" t="s">
        <v>38</v>
      </c>
      <c r="B18" s="9" t="n">
        <v>4</v>
      </c>
      <c r="C18" s="8" t="s">
        <v>39</v>
      </c>
      <c r="D18" s="8" t="s">
        <v>40</v>
      </c>
    </row>
    <row r="19" customFormat="false" ht="15" hidden="false" customHeight="true" outlineLevel="0" collapsed="false">
      <c r="A19" s="8" t="s">
        <v>41</v>
      </c>
      <c r="B19" s="11" t="n">
        <v>200000</v>
      </c>
      <c r="C19" s="8" t="s">
        <v>42</v>
      </c>
      <c r="D19" s="8" t="s">
        <v>43</v>
      </c>
    </row>
    <row r="20" customFormat="false" ht="15" hidden="false" customHeight="true" outlineLevel="0" collapsed="false">
      <c r="A20" s="8" t="s">
        <v>44</v>
      </c>
      <c r="B20" s="9" t="n">
        <v>1.5</v>
      </c>
      <c r="C20" s="8" t="s">
        <v>7</v>
      </c>
      <c r="D20" s="8" t="s">
        <v>45</v>
      </c>
    </row>
    <row r="21" customFormat="false" ht="15" hidden="false" customHeight="true" outlineLevel="0" collapsed="false">
      <c r="A21" s="8" t="s">
        <v>46</v>
      </c>
      <c r="B21" s="11" t="n">
        <v>30000</v>
      </c>
      <c r="C21" s="8" t="s">
        <v>47</v>
      </c>
      <c r="D21" s="8" t="s">
        <v>48</v>
      </c>
    </row>
    <row r="22" customFormat="false" ht="15" hidden="false" customHeight="true" outlineLevel="0" collapsed="false">
      <c r="A22" s="8" t="s">
        <v>49</v>
      </c>
      <c r="B22" s="11" t="n">
        <v>3000</v>
      </c>
      <c r="C22" s="8" t="s">
        <v>42</v>
      </c>
      <c r="D22" s="8" t="s">
        <v>34</v>
      </c>
    </row>
    <row r="23" customFormat="false" ht="15" hidden="false" customHeight="true" outlineLevel="0" collapsed="false">
      <c r="A23" s="5" t="s">
        <v>50</v>
      </c>
      <c r="B23" s="6"/>
      <c r="C23" s="7"/>
      <c r="D23" s="7"/>
    </row>
    <row r="24" customFormat="false" ht="15" hidden="false" customHeight="true" outlineLevel="0" collapsed="false">
      <c r="A24" s="8" t="s">
        <v>51</v>
      </c>
      <c r="B24" s="11" t="n">
        <v>2000</v>
      </c>
      <c r="C24" s="8" t="s">
        <v>52</v>
      </c>
      <c r="D24" s="8" t="s">
        <v>53</v>
      </c>
    </row>
    <row r="25" customFormat="false" ht="15" hidden="false" customHeight="true" outlineLevel="0" collapsed="false">
      <c r="A25" s="8" t="s">
        <v>54</v>
      </c>
      <c r="B25" s="11" t="n">
        <v>1000</v>
      </c>
      <c r="C25" s="8" t="s">
        <v>55</v>
      </c>
      <c r="D25" s="8" t="s">
        <v>34</v>
      </c>
    </row>
    <row r="26" customFormat="false" ht="15" hidden="false" customHeight="true" outlineLevel="0" collapsed="false">
      <c r="A26" s="8" t="s">
        <v>56</v>
      </c>
      <c r="B26" s="11" t="n">
        <v>2000</v>
      </c>
      <c r="C26" s="8" t="s">
        <v>57</v>
      </c>
      <c r="D26" s="8" t="s">
        <v>58</v>
      </c>
    </row>
    <row r="27" customFormat="false" ht="15" hidden="false" customHeight="true" outlineLevel="0" collapsed="false">
      <c r="A27" s="8" t="s">
        <v>59</v>
      </c>
      <c r="B27" s="11" t="n">
        <v>300</v>
      </c>
      <c r="C27" s="8" t="s">
        <v>60</v>
      </c>
      <c r="D27" s="8" t="s">
        <v>34</v>
      </c>
    </row>
    <row r="28" customFormat="false" ht="15" hidden="false" customHeight="true" outlineLevel="0" collapsed="false">
      <c r="A28" s="8" t="s">
        <v>61</v>
      </c>
      <c r="B28" s="11" t="n">
        <v>150000</v>
      </c>
      <c r="C28" s="8" t="s">
        <v>42</v>
      </c>
      <c r="D28" s="8" t="s">
        <v>62</v>
      </c>
    </row>
    <row r="29" customFormat="false" ht="15" hidden="false" customHeight="true" outlineLevel="0" collapsed="false">
      <c r="A29" s="8" t="s">
        <v>63</v>
      </c>
      <c r="B29" s="11" t="n">
        <v>35000</v>
      </c>
      <c r="C29" s="8" t="s">
        <v>24</v>
      </c>
      <c r="D29" s="8" t="s">
        <v>34</v>
      </c>
    </row>
    <row r="30" customFormat="false" ht="15" hidden="false" customHeight="true" outlineLevel="0" collapsed="false">
      <c r="A30" s="8" t="s">
        <v>64</v>
      </c>
      <c r="B30" s="12" t="n">
        <v>0.05</v>
      </c>
      <c r="C30" s="8" t="s">
        <v>20</v>
      </c>
      <c r="D30" s="8" t="s">
        <v>34</v>
      </c>
    </row>
    <row r="31" customFormat="false" ht="15" hidden="false" customHeight="true" outlineLevel="0" collapsed="false">
      <c r="A31" s="8" t="s">
        <v>65</v>
      </c>
      <c r="B31" s="12" t="n">
        <v>0.05</v>
      </c>
      <c r="C31" s="8" t="s">
        <v>20</v>
      </c>
      <c r="D31" s="8" t="s">
        <v>66</v>
      </c>
    </row>
    <row r="32" customFormat="false" ht="15" hidden="false" customHeight="true" outlineLevel="0" collapsed="false">
      <c r="A32" s="8" t="s">
        <v>67</v>
      </c>
      <c r="B32" s="11" t="n">
        <v>15000</v>
      </c>
      <c r="C32" s="8" t="s">
        <v>68</v>
      </c>
      <c r="D32" s="8" t="s">
        <v>34</v>
      </c>
    </row>
    <row r="33" customFormat="false" ht="15" hidden="false" customHeight="true" outlineLevel="0" collapsed="false">
      <c r="A33" s="8" t="s">
        <v>69</v>
      </c>
      <c r="B33" s="11" t="n">
        <v>1000</v>
      </c>
      <c r="C33" s="8" t="s">
        <v>42</v>
      </c>
      <c r="D33" s="8" t="s">
        <v>34</v>
      </c>
    </row>
    <row r="34" customFormat="false" ht="15" hidden="false" customHeight="true" outlineLevel="0" collapsed="false">
      <c r="A34" s="8" t="s">
        <v>70</v>
      </c>
      <c r="B34" s="9" t="n">
        <v>1.5</v>
      </c>
      <c r="C34" s="8" t="s">
        <v>39</v>
      </c>
      <c r="D34" s="8" t="s">
        <v>71</v>
      </c>
    </row>
    <row r="35" customFormat="false" ht="15" hidden="false" customHeight="true" outlineLevel="0" collapsed="false">
      <c r="A35" s="8" t="s">
        <v>72</v>
      </c>
      <c r="B35" s="9" t="n">
        <v>1</v>
      </c>
      <c r="C35" s="8" t="s">
        <v>7</v>
      </c>
      <c r="D35" s="8" t="s">
        <v>34</v>
      </c>
    </row>
    <row r="36" customFormat="false" ht="15" hidden="false" customHeight="true" outlineLevel="0" collapsed="false">
      <c r="A36" s="8" t="s">
        <v>73</v>
      </c>
      <c r="B36" s="11" t="n">
        <v>7000</v>
      </c>
      <c r="C36" s="8" t="s">
        <v>47</v>
      </c>
      <c r="D36" s="8" t="s">
        <v>74</v>
      </c>
    </row>
    <row r="37" customFormat="false" ht="15" hidden="false" customHeight="true" outlineLevel="0" collapsed="false">
      <c r="A37" s="8" t="s">
        <v>75</v>
      </c>
      <c r="B37" s="9" t="n">
        <v>0.5</v>
      </c>
      <c r="C37" s="8" t="s">
        <v>7</v>
      </c>
      <c r="D37" s="8" t="s">
        <v>34</v>
      </c>
    </row>
    <row r="38" customFormat="false" ht="15" hidden="false" customHeight="true" outlineLevel="0" collapsed="false">
      <c r="A38" s="8" t="s">
        <v>76</v>
      </c>
      <c r="B38" s="11" t="n">
        <v>2000</v>
      </c>
      <c r="C38" s="8" t="s">
        <v>47</v>
      </c>
      <c r="D38" s="8" t="s">
        <v>34</v>
      </c>
    </row>
    <row r="39" customFormat="false" ht="15" hidden="false" customHeight="true" outlineLevel="0" collapsed="false">
      <c r="A39" s="5" t="s">
        <v>77</v>
      </c>
      <c r="B39" s="6"/>
      <c r="C39" s="7"/>
      <c r="D39" s="7"/>
    </row>
    <row r="40" customFormat="false" ht="15" hidden="false" customHeight="true" outlineLevel="0" collapsed="false">
      <c r="A40" s="8" t="s">
        <v>78</v>
      </c>
      <c r="B40" s="11" t="n">
        <v>15000</v>
      </c>
      <c r="C40" s="8" t="s">
        <v>68</v>
      </c>
      <c r="D40" s="8" t="s">
        <v>34</v>
      </c>
    </row>
    <row r="41" customFormat="false" ht="15" hidden="false" customHeight="true" outlineLevel="0" collapsed="false">
      <c r="A41" s="8" t="s">
        <v>79</v>
      </c>
      <c r="B41" s="11" t="n">
        <v>5000</v>
      </c>
      <c r="C41" s="8" t="s">
        <v>68</v>
      </c>
      <c r="D41" s="8" t="s">
        <v>34</v>
      </c>
    </row>
    <row r="42" customFormat="false" ht="15" hidden="false" customHeight="true" outlineLevel="0" collapsed="false">
      <c r="A42" s="8" t="s">
        <v>80</v>
      </c>
      <c r="B42" s="11" t="n">
        <v>4000000</v>
      </c>
      <c r="C42" s="8" t="s">
        <v>81</v>
      </c>
      <c r="D42" s="8" t="s">
        <v>82</v>
      </c>
    </row>
    <row r="43" customFormat="false" ht="15" hidden="false" customHeight="true" outlineLevel="0" collapsed="false">
      <c r="A43" s="8" t="s">
        <v>83</v>
      </c>
      <c r="B43" s="13" t="n">
        <f aca="false">B7*B29*(1+B31)+B32+B40+B41</f>
        <v>108500</v>
      </c>
      <c r="C43" s="8" t="s">
        <v>68</v>
      </c>
      <c r="D43" s="8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1" min="2" style="1" width="15"/>
    <col collapsed="false" customWidth="true" hidden="false" outlineLevel="0" max="12" min="12" style="1" width="48"/>
  </cols>
  <sheetData>
    <row r="1" customFormat="false" ht="15" hidden="false" customHeight="true" outlineLevel="0" collapsed="false">
      <c r="A1" s="2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14" t="s">
        <v>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5" hidden="false" customHeight="true" outlineLevel="0" collapsed="false">
      <c r="A4" s="15" t="s">
        <v>87</v>
      </c>
      <c r="B4" s="15" t="s">
        <v>88</v>
      </c>
      <c r="C4" s="15" t="s">
        <v>89</v>
      </c>
      <c r="D4" s="15" t="s">
        <v>90</v>
      </c>
      <c r="E4" s="15" t="s">
        <v>91</v>
      </c>
      <c r="F4" s="15" t="s">
        <v>92</v>
      </c>
      <c r="G4" s="15" t="s">
        <v>93</v>
      </c>
      <c r="H4" s="15" t="s">
        <v>94</v>
      </c>
      <c r="I4" s="15" t="s">
        <v>95</v>
      </c>
      <c r="J4" s="15" t="s">
        <v>96</v>
      </c>
      <c r="K4" s="15" t="s">
        <v>97</v>
      </c>
      <c r="L4" s="15" t="s">
        <v>98</v>
      </c>
    </row>
    <row r="5" customFormat="false" ht="15" hidden="false" customHeight="true" outlineLevel="0" collapsed="false">
      <c r="A5" s="16" t="s">
        <v>99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</row>
    <row r="6" customFormat="false" ht="15" hidden="false" customHeight="true" outlineLevel="0" collapsed="false">
      <c r="A6" s="19" t="s">
        <v>100</v>
      </c>
      <c r="B6" s="20" t="n">
        <f aca="false">Допущения!$B$5/Допущения!$B$8*Допущения!$B$12</f>
        <v>3000000</v>
      </c>
      <c r="C6" s="21" t="n">
        <v>0</v>
      </c>
      <c r="D6" s="22" t="n">
        <f aca="false">$B6</f>
        <v>3000000</v>
      </c>
      <c r="E6" s="22" t="n">
        <f aca="false">$B6</f>
        <v>3000000</v>
      </c>
      <c r="F6" s="22" t="n">
        <f aca="false">$B6</f>
        <v>3000000</v>
      </c>
      <c r="G6" s="22" t="n">
        <f aca="false">SUM(D6:F6)</f>
        <v>9000000</v>
      </c>
      <c r="H6" s="22" t="n">
        <f aca="false">$B6*(1-Допущения!$B$10)+$C6*Допущения!$B$10</f>
        <v>1375000</v>
      </c>
      <c r="I6" s="22" t="n">
        <f aca="false">$C6</f>
        <v>0</v>
      </c>
      <c r="J6" s="22" t="n">
        <f aca="false">$C6</f>
        <v>0</v>
      </c>
      <c r="K6" s="22" t="n">
        <f aca="false">SUM(H6:J6)</f>
        <v>1375000</v>
      </c>
      <c r="L6" s="23" t="s">
        <v>101</v>
      </c>
    </row>
    <row r="7" customFormat="false" ht="15" hidden="false" customHeight="true" outlineLevel="0" collapsed="false">
      <c r="A7" s="19" t="s">
        <v>102</v>
      </c>
      <c r="B7" s="20" t="n">
        <f aca="false">Допущения!$B$5*Допущения!$B$7/Допущения!$B$8*Допущения!$B$13</f>
        <v>2400000</v>
      </c>
      <c r="C7" s="21" t="n">
        <v>0</v>
      </c>
      <c r="D7" s="22" t="n">
        <f aca="false">$B7</f>
        <v>2400000</v>
      </c>
      <c r="E7" s="22" t="n">
        <f aca="false">$B7</f>
        <v>2400000</v>
      </c>
      <c r="F7" s="22" t="n">
        <f aca="false">$B7</f>
        <v>2400000</v>
      </c>
      <c r="G7" s="22" t="n">
        <f aca="false">SUM(D7:F7)</f>
        <v>7200000</v>
      </c>
      <c r="H7" s="22" t="n">
        <f aca="false">$B7*(1-Допущения!$B$10)+$C7*Допущения!$B$10</f>
        <v>1100000</v>
      </c>
      <c r="I7" s="22" t="n">
        <f aca="false">$C7</f>
        <v>0</v>
      </c>
      <c r="J7" s="22" t="n">
        <f aca="false">$C7</f>
        <v>0</v>
      </c>
      <c r="K7" s="22" t="n">
        <f aca="false">SUM(H7:J7)</f>
        <v>1100000</v>
      </c>
      <c r="L7" s="23" t="s">
        <v>103</v>
      </c>
    </row>
    <row r="8" customFormat="false" ht="15" hidden="false" customHeight="true" outlineLevel="0" collapsed="false">
      <c r="A8" s="19" t="s">
        <v>104</v>
      </c>
      <c r="B8" s="21" t="n">
        <v>0</v>
      </c>
      <c r="C8" s="20" t="n">
        <f aca="false">Допущения!$B$5*Допущения!$B$7*Допущения!$B$30*Допущения!$B$29</f>
        <v>350000</v>
      </c>
      <c r="D8" s="22" t="n">
        <f aca="false">$B8</f>
        <v>0</v>
      </c>
      <c r="E8" s="22" t="n">
        <f aca="false">$B8</f>
        <v>0</v>
      </c>
      <c r="F8" s="22" t="n">
        <f aca="false">$B8</f>
        <v>0</v>
      </c>
      <c r="G8" s="22" t="n">
        <f aca="false">SUM(D8:F8)</f>
        <v>0</v>
      </c>
      <c r="H8" s="22" t="n">
        <f aca="false">$B8*(1-Допущения!$B$10)+$C8*Допущения!$B$10</f>
        <v>189583.333333333</v>
      </c>
      <c r="I8" s="22" t="n">
        <f aca="false">$C8</f>
        <v>350000</v>
      </c>
      <c r="J8" s="22" t="n">
        <f aca="false">$C8</f>
        <v>350000</v>
      </c>
      <c r="K8" s="22" t="n">
        <f aca="false">SUM(H8:J8)</f>
        <v>889583.333333333</v>
      </c>
      <c r="L8" s="23" t="s">
        <v>105</v>
      </c>
    </row>
    <row r="9" customFormat="false" ht="15" hidden="false" customHeight="true" outlineLevel="0" collapsed="false">
      <c r="A9" s="16" t="s">
        <v>106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customFormat="false" ht="15" hidden="false" customHeight="true" outlineLevel="0" collapsed="false">
      <c r="A10" s="19" t="s">
        <v>107</v>
      </c>
      <c r="B10" s="20" t="n">
        <f aca="false">Допущения!$B$5/Допущения!$B$8*Допущения!$B$14</f>
        <v>2400000</v>
      </c>
      <c r="C10" s="21" t="n">
        <v>0</v>
      </c>
      <c r="D10" s="22" t="n">
        <f aca="false">$B10</f>
        <v>2400000</v>
      </c>
      <c r="E10" s="22" t="n">
        <f aca="false">$B10</f>
        <v>2400000</v>
      </c>
      <c r="F10" s="22" t="n">
        <f aca="false">$B10</f>
        <v>2400000</v>
      </c>
      <c r="G10" s="22" t="n">
        <f aca="false">SUM(D10:F10)</f>
        <v>7200000</v>
      </c>
      <c r="H10" s="22" t="n">
        <f aca="false">$B10*(1-Допущения!$B$10)+$C10*Допущения!$B$10</f>
        <v>1100000</v>
      </c>
      <c r="I10" s="22" t="n">
        <f aca="false">$C10</f>
        <v>0</v>
      </c>
      <c r="J10" s="22" t="n">
        <f aca="false">$C10</f>
        <v>0</v>
      </c>
      <c r="K10" s="22" t="n">
        <f aca="false">SUM(H10:J10)</f>
        <v>1100000</v>
      </c>
      <c r="L10" s="23" t="s">
        <v>108</v>
      </c>
    </row>
    <row r="11" customFormat="false" ht="15" hidden="false" customHeight="true" outlineLevel="0" collapsed="false">
      <c r="A11" s="19" t="s">
        <v>109</v>
      </c>
      <c r="B11" s="20" t="n">
        <f aca="false">Допущения!$B$5/Допущения!$B$8*Допущения!$B$15</f>
        <v>0</v>
      </c>
      <c r="C11" s="21" t="n">
        <v>0</v>
      </c>
      <c r="D11" s="22" t="n">
        <f aca="false">$B11</f>
        <v>0</v>
      </c>
      <c r="E11" s="22" t="n">
        <f aca="false">$B11</f>
        <v>0</v>
      </c>
      <c r="F11" s="22" t="n">
        <f aca="false">$B11</f>
        <v>0</v>
      </c>
      <c r="G11" s="22" t="n">
        <f aca="false">SUM(D11:F11)</f>
        <v>0</v>
      </c>
      <c r="H11" s="22" t="n">
        <f aca="false">$B11*(1-Допущения!$B$10)+$C11*Допущения!$B$10</f>
        <v>0</v>
      </c>
      <c r="I11" s="22" t="n">
        <f aca="false">$C11</f>
        <v>0</v>
      </c>
      <c r="J11" s="22" t="n">
        <f aca="false">$C11</f>
        <v>0</v>
      </c>
      <c r="K11" s="22" t="n">
        <f aca="false">SUM(H11:J11)</f>
        <v>0</v>
      </c>
      <c r="L11" s="23" t="s">
        <v>110</v>
      </c>
    </row>
    <row r="12" customFormat="false" ht="15" hidden="false" customHeight="true" outlineLevel="0" collapsed="false">
      <c r="A12" s="19" t="s">
        <v>111</v>
      </c>
      <c r="B12" s="20" t="n">
        <f aca="false">Допущения!$B$5*Допущения!$B$16</f>
        <v>800000</v>
      </c>
      <c r="C12" s="21" t="n">
        <v>0</v>
      </c>
      <c r="D12" s="22" t="n">
        <f aca="false">$B12</f>
        <v>800000</v>
      </c>
      <c r="E12" s="22" t="n">
        <f aca="false">$B12</f>
        <v>800000</v>
      </c>
      <c r="F12" s="22" t="n">
        <f aca="false">$B12</f>
        <v>800000</v>
      </c>
      <c r="G12" s="22" t="n">
        <f aca="false">SUM(D12:F12)</f>
        <v>2400000</v>
      </c>
      <c r="H12" s="22" t="n">
        <f aca="false">$B12*(1-Допущения!$B$10)+$C12*Допущения!$B$10</f>
        <v>366666.666666667</v>
      </c>
      <c r="I12" s="22" t="n">
        <f aca="false">$C12</f>
        <v>0</v>
      </c>
      <c r="J12" s="22" t="n">
        <f aca="false">$C12</f>
        <v>0</v>
      </c>
      <c r="K12" s="22" t="n">
        <f aca="false">SUM(H12:J12)</f>
        <v>366666.666666667</v>
      </c>
      <c r="L12" s="23" t="s">
        <v>112</v>
      </c>
    </row>
    <row r="13" customFormat="false" ht="15" hidden="false" customHeight="true" outlineLevel="0" collapsed="false">
      <c r="A13" s="19" t="s">
        <v>35</v>
      </c>
      <c r="B13" s="20" t="n">
        <f aca="false">Допущения!$B$5*Допущения!$B$7*Допущения!$B$17</f>
        <v>2000000</v>
      </c>
      <c r="C13" s="21" t="n">
        <v>0</v>
      </c>
      <c r="D13" s="22" t="n">
        <f aca="false">$B13</f>
        <v>2000000</v>
      </c>
      <c r="E13" s="22" t="n">
        <f aca="false">$B13</f>
        <v>2000000</v>
      </c>
      <c r="F13" s="22" t="n">
        <f aca="false">$B13</f>
        <v>2000000</v>
      </c>
      <c r="G13" s="22" t="n">
        <f aca="false">SUM(D13:F13)</f>
        <v>6000000</v>
      </c>
      <c r="H13" s="22" t="n">
        <f aca="false">$B13*(1-Допущения!$B$10)+$C13*Допущения!$B$10</f>
        <v>916666.666666667</v>
      </c>
      <c r="I13" s="22" t="n">
        <f aca="false">$C13</f>
        <v>0</v>
      </c>
      <c r="J13" s="22" t="n">
        <f aca="false">$C13</f>
        <v>0</v>
      </c>
      <c r="K13" s="22" t="n">
        <f aca="false">SUM(H13:J13)</f>
        <v>916666.666666667</v>
      </c>
      <c r="L13" s="23" t="s">
        <v>113</v>
      </c>
    </row>
    <row r="14" customFormat="false" ht="15" hidden="false" customHeight="true" outlineLevel="0" collapsed="false">
      <c r="A14" s="19" t="s">
        <v>51</v>
      </c>
      <c r="B14" s="21" t="n">
        <v>0</v>
      </c>
      <c r="C14" s="20" t="n">
        <f aca="false">Допущения!$B$5*Допущения!$B$7*Допущения!$B$24*12</f>
        <v>4800000</v>
      </c>
      <c r="D14" s="22" t="n">
        <f aca="false">$B14</f>
        <v>0</v>
      </c>
      <c r="E14" s="22" t="n">
        <f aca="false">$B14</f>
        <v>0</v>
      </c>
      <c r="F14" s="22" t="n">
        <f aca="false">$B14</f>
        <v>0</v>
      </c>
      <c r="G14" s="22" t="n">
        <f aca="false">SUM(D14:F14)</f>
        <v>0</v>
      </c>
      <c r="H14" s="22" t="n">
        <f aca="false">$B14*(1-Допущения!$B$10)+$C14*Допущения!$B$10</f>
        <v>2600000</v>
      </c>
      <c r="I14" s="22" t="n">
        <f aca="false">$C14</f>
        <v>4800000</v>
      </c>
      <c r="J14" s="22" t="n">
        <f aca="false">$C14</f>
        <v>4800000</v>
      </c>
      <c r="K14" s="22" t="n">
        <f aca="false">SUM(H14:J14)</f>
        <v>12200000</v>
      </c>
      <c r="L14" s="23" t="s">
        <v>114</v>
      </c>
    </row>
    <row r="15" customFormat="false" ht="15" hidden="false" customHeight="true" outlineLevel="0" collapsed="false">
      <c r="A15" s="19" t="s">
        <v>54</v>
      </c>
      <c r="B15" s="21" t="n">
        <v>0</v>
      </c>
      <c r="C15" s="20" t="n">
        <f aca="false">Допущения!$B$5*Допущения!$B$7*Допущения!$B$25*12</f>
        <v>2400000</v>
      </c>
      <c r="D15" s="22" t="n">
        <f aca="false">$B15</f>
        <v>0</v>
      </c>
      <c r="E15" s="22" t="n">
        <f aca="false">$B15</f>
        <v>0</v>
      </c>
      <c r="F15" s="22" t="n">
        <f aca="false">$B15</f>
        <v>0</v>
      </c>
      <c r="G15" s="22" t="n">
        <f aca="false">SUM(D15:F15)</f>
        <v>0</v>
      </c>
      <c r="H15" s="22" t="n">
        <f aca="false">$B15*(1-Допущения!$B$10)+$C15*Допущения!$B$10</f>
        <v>1300000</v>
      </c>
      <c r="I15" s="22" t="n">
        <f aca="false">$C15</f>
        <v>2400000</v>
      </c>
      <c r="J15" s="22" t="n">
        <f aca="false">$C15</f>
        <v>2400000</v>
      </c>
      <c r="K15" s="22" t="n">
        <f aca="false">SUM(H15:J15)</f>
        <v>6100000</v>
      </c>
      <c r="L15" s="23" t="s">
        <v>115</v>
      </c>
    </row>
    <row r="16" customFormat="false" ht="15" hidden="false" customHeight="true" outlineLevel="0" collapsed="false">
      <c r="A16" s="19" t="s">
        <v>56</v>
      </c>
      <c r="B16" s="21" t="n">
        <v>0</v>
      </c>
      <c r="C16" s="20" t="n">
        <f aca="false">Допущения!$B$5*Допущения!$B$26*12</f>
        <v>2400000</v>
      </c>
      <c r="D16" s="22" t="n">
        <f aca="false">$B16</f>
        <v>0</v>
      </c>
      <c r="E16" s="22" t="n">
        <f aca="false">$B16</f>
        <v>0</v>
      </c>
      <c r="F16" s="22" t="n">
        <f aca="false">$B16</f>
        <v>0</v>
      </c>
      <c r="G16" s="22" t="n">
        <f aca="false">SUM(D16:F16)</f>
        <v>0</v>
      </c>
      <c r="H16" s="22" t="n">
        <f aca="false">$B16*(1-Допущения!$B$10)+$C16*Допущения!$B$10</f>
        <v>1300000</v>
      </c>
      <c r="I16" s="22" t="n">
        <f aca="false">$C16</f>
        <v>2400000</v>
      </c>
      <c r="J16" s="22" t="n">
        <f aca="false">$C16</f>
        <v>2400000</v>
      </c>
      <c r="K16" s="22" t="n">
        <f aca="false">SUM(H16:J16)</f>
        <v>6100000</v>
      </c>
      <c r="L16" s="23" t="s">
        <v>116</v>
      </c>
    </row>
    <row r="17" customFormat="false" ht="15" hidden="false" customHeight="true" outlineLevel="0" collapsed="false">
      <c r="A17" s="19" t="s">
        <v>117</v>
      </c>
      <c r="B17" s="21" t="n">
        <v>0</v>
      </c>
      <c r="C17" s="20" t="n">
        <f aca="false">Допущения!$B$5*Допущения!$B$7*Допущения!$B$27*12</f>
        <v>720000</v>
      </c>
      <c r="D17" s="22" t="n">
        <f aca="false">$B17</f>
        <v>0</v>
      </c>
      <c r="E17" s="22" t="n">
        <f aca="false">$B17</f>
        <v>0</v>
      </c>
      <c r="F17" s="22" t="n">
        <f aca="false">$B17</f>
        <v>0</v>
      </c>
      <c r="G17" s="22" t="n">
        <f aca="false">SUM(D17:F17)</f>
        <v>0</v>
      </c>
      <c r="H17" s="22" t="n">
        <f aca="false">$B17*(1-Допущения!$B$10)+$C17*Допущения!$B$10</f>
        <v>390000</v>
      </c>
      <c r="I17" s="22" t="n">
        <f aca="false">$C17</f>
        <v>720000</v>
      </c>
      <c r="J17" s="22" t="n">
        <f aca="false">$C17</f>
        <v>720000</v>
      </c>
      <c r="K17" s="22" t="n">
        <f aca="false">SUM(H17:J17)</f>
        <v>1830000</v>
      </c>
      <c r="L17" s="23" t="s">
        <v>118</v>
      </c>
    </row>
    <row r="18" customFormat="false" ht="15" hidden="false" customHeight="true" outlineLevel="0" collapsed="false">
      <c r="A18" s="19" t="s">
        <v>119</v>
      </c>
      <c r="B18" s="21" t="n">
        <v>0</v>
      </c>
      <c r="C18" s="20" t="n">
        <f aca="false">Допущения!$B$28*12*Допущения!$B$5/Допущения!$B$6</f>
        <v>360000</v>
      </c>
      <c r="D18" s="22" t="n">
        <f aca="false">$B18</f>
        <v>0</v>
      </c>
      <c r="E18" s="22" t="n">
        <f aca="false">$B18</f>
        <v>0</v>
      </c>
      <c r="F18" s="22" t="n">
        <f aca="false">$B18</f>
        <v>0</v>
      </c>
      <c r="G18" s="22" t="n">
        <f aca="false">SUM(D18:F18)</f>
        <v>0</v>
      </c>
      <c r="H18" s="22" t="n">
        <f aca="false">$B18*(1-Допущения!$B$10)+$C18*Допущения!$B$10</f>
        <v>195000</v>
      </c>
      <c r="I18" s="22" t="n">
        <f aca="false">$C18</f>
        <v>360000</v>
      </c>
      <c r="J18" s="22" t="n">
        <f aca="false">$C18</f>
        <v>360000</v>
      </c>
      <c r="K18" s="22" t="n">
        <f aca="false">SUM(H18:J18)</f>
        <v>915000</v>
      </c>
      <c r="L18" s="23" t="s">
        <v>120</v>
      </c>
    </row>
    <row r="19" customFormat="false" ht="15" hidden="false" customHeight="true" outlineLevel="0" collapsed="false">
      <c r="A19" s="16" t="s">
        <v>121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customFormat="false" ht="15" hidden="false" customHeight="true" outlineLevel="0" collapsed="false">
      <c r="A20" s="19" t="s">
        <v>122</v>
      </c>
      <c r="B20" s="20" t="n">
        <f aca="false">Допущения!$B$18*Допущения!$B$19*12</f>
        <v>9600000</v>
      </c>
      <c r="C20" s="20" t="n">
        <f aca="false">Допущения!$B$34*Допущения!$B$19*12</f>
        <v>3600000</v>
      </c>
      <c r="D20" s="22" t="n">
        <f aca="false">$B20</f>
        <v>9600000</v>
      </c>
      <c r="E20" s="22" t="n">
        <f aca="false">$B20</f>
        <v>9600000</v>
      </c>
      <c r="F20" s="22" t="n">
        <f aca="false">$B20</f>
        <v>9600000</v>
      </c>
      <c r="G20" s="22" t="n">
        <f aca="false">SUM(D20:F20)</f>
        <v>28800000</v>
      </c>
      <c r="H20" s="22" t="n">
        <f aca="false">$B20*(1-Допущения!$B$10)+$C20*Допущения!$B$10</f>
        <v>6350000</v>
      </c>
      <c r="I20" s="22" t="n">
        <f aca="false">$C20</f>
        <v>3600000</v>
      </c>
      <c r="J20" s="22" t="n">
        <f aca="false">$C20</f>
        <v>3600000</v>
      </c>
      <c r="K20" s="22" t="n">
        <f aca="false">SUM(H20:J20)</f>
        <v>13550000</v>
      </c>
      <c r="L20" s="23" t="s">
        <v>123</v>
      </c>
    </row>
    <row r="21" customFormat="false" ht="15" hidden="false" customHeight="true" outlineLevel="0" collapsed="false">
      <c r="A21" s="16" t="s">
        <v>124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customFormat="false" ht="15" hidden="false" customHeight="true" outlineLevel="0" collapsed="false">
      <c r="A22" s="19" t="s">
        <v>125</v>
      </c>
      <c r="B22" s="20" t="n">
        <f aca="false">Допущения!$B$5*Допущения!$B$20*Допущения!$B$21</f>
        <v>4500000</v>
      </c>
      <c r="C22" s="21" t="n">
        <v>0</v>
      </c>
      <c r="D22" s="22" t="n">
        <f aca="false">$B22</f>
        <v>4500000</v>
      </c>
      <c r="E22" s="22" t="n">
        <f aca="false">$B22</f>
        <v>4500000</v>
      </c>
      <c r="F22" s="22" t="n">
        <f aca="false">$B22</f>
        <v>4500000</v>
      </c>
      <c r="G22" s="22" t="n">
        <f aca="false">SUM(D22:F22)</f>
        <v>13500000</v>
      </c>
      <c r="H22" s="22" t="n">
        <f aca="false">$B22*(1-Допущения!$B$10)+$C22*Допущения!$B$10</f>
        <v>2062500</v>
      </c>
      <c r="I22" s="22" t="n">
        <f aca="false">$C22</f>
        <v>0</v>
      </c>
      <c r="J22" s="22" t="n">
        <f aca="false">$C22</f>
        <v>0</v>
      </c>
      <c r="K22" s="22" t="n">
        <f aca="false">SUM(H22:J22)</f>
        <v>2062500</v>
      </c>
      <c r="L22" s="23" t="s">
        <v>126</v>
      </c>
    </row>
    <row r="23" customFormat="false" ht="15" hidden="false" customHeight="true" outlineLevel="0" collapsed="false">
      <c r="A23" s="19" t="s">
        <v>127</v>
      </c>
      <c r="B23" s="21" t="n">
        <v>0</v>
      </c>
      <c r="C23" s="20" t="n">
        <f aca="false">Допущения!$B$5*(Допущения!$B$35*Допущения!$B$36+Допущения!$B$37*Допущения!$B$38)</f>
        <v>800000</v>
      </c>
      <c r="D23" s="22" t="n">
        <f aca="false">$B23</f>
        <v>0</v>
      </c>
      <c r="E23" s="22" t="n">
        <f aca="false">$B23</f>
        <v>0</v>
      </c>
      <c r="F23" s="22" t="n">
        <f aca="false">$B23</f>
        <v>0</v>
      </c>
      <c r="G23" s="22" t="n">
        <f aca="false">SUM(D23:F23)</f>
        <v>0</v>
      </c>
      <c r="H23" s="22" t="n">
        <f aca="false">$B23*(1-Допущения!$B$10)+$C23*Допущения!$B$10</f>
        <v>433333.333333333</v>
      </c>
      <c r="I23" s="22" t="n">
        <f aca="false">$C23</f>
        <v>800000</v>
      </c>
      <c r="J23" s="22" t="n">
        <f aca="false">$C23</f>
        <v>800000</v>
      </c>
      <c r="K23" s="22" t="n">
        <f aca="false">SUM(H23:J23)</f>
        <v>2033333.33333333</v>
      </c>
      <c r="L23" s="23" t="s">
        <v>128</v>
      </c>
    </row>
    <row r="24" customFormat="false" ht="15" hidden="false" customHeight="true" outlineLevel="0" collapsed="false">
      <c r="A24" s="16" t="s">
        <v>129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customFormat="false" ht="15" hidden="false" customHeight="true" outlineLevel="0" collapsed="false">
      <c r="A25" s="19" t="s">
        <v>130</v>
      </c>
      <c r="B25" s="20" t="n">
        <f aca="false">Допущения!$B$5*Допущения!$B$22*12</f>
        <v>3600000</v>
      </c>
      <c r="C25" s="20" t="n">
        <f aca="false">Допущения!$B$5*(Допущения!$B$22+Допущения!$B$33)*12</f>
        <v>4800000</v>
      </c>
      <c r="D25" s="22" t="n">
        <f aca="false">$B25</f>
        <v>3600000</v>
      </c>
      <c r="E25" s="22" t="n">
        <f aca="false">$B25</f>
        <v>3600000</v>
      </c>
      <c r="F25" s="22" t="n">
        <f aca="false">$B25</f>
        <v>3600000</v>
      </c>
      <c r="G25" s="22" t="n">
        <f aca="false">SUM(D25:F25)</f>
        <v>10800000</v>
      </c>
      <c r="H25" s="22" t="n">
        <f aca="false">$B25*(1-Допущения!$B$10)+$C25*Допущения!$B$10</f>
        <v>4250000</v>
      </c>
      <c r="I25" s="22" t="n">
        <f aca="false">$C25</f>
        <v>4800000</v>
      </c>
      <c r="J25" s="22" t="n">
        <f aca="false">$C25</f>
        <v>4800000</v>
      </c>
      <c r="K25" s="22" t="n">
        <f aca="false">SUM(H25:J25)</f>
        <v>13850000</v>
      </c>
      <c r="L25" s="23" t="s">
        <v>131</v>
      </c>
    </row>
    <row r="26" customFormat="false" ht="15" hidden="false" customHeight="true" outlineLevel="0" collapsed="false">
      <c r="A26" s="16" t="s">
        <v>132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customFormat="false" ht="15" hidden="false" customHeight="true" outlineLevel="0" collapsed="false">
      <c r="A27" s="19" t="s">
        <v>133</v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0" t="n">
        <f aca="false">Допущения!$B$5*Допущения!$B$7*Допущения!$B$29*(1+Допущения!$B$31)</f>
        <v>7350000</v>
      </c>
      <c r="I27" s="22" t="n">
        <v>0</v>
      </c>
      <c r="J27" s="22" t="n">
        <v>0</v>
      </c>
      <c r="K27" s="22" t="n">
        <f aca="false">SUM(H27:J27)</f>
        <v>7350000</v>
      </c>
      <c r="L27" s="23" t="s">
        <v>134</v>
      </c>
    </row>
    <row r="28" customFormat="false" ht="15" hidden="false" customHeight="true" outlineLevel="0" collapsed="false">
      <c r="A28" s="19" t="s">
        <v>135</v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0" t="n">
        <f aca="false">Допущения!$B$5*Допущения!$B$32</f>
        <v>1500000</v>
      </c>
      <c r="I28" s="22" t="n">
        <v>0</v>
      </c>
      <c r="J28" s="22" t="n">
        <v>0</v>
      </c>
      <c r="K28" s="22" t="n">
        <f aca="false">SUM(H28:J28)</f>
        <v>1500000</v>
      </c>
      <c r="L28" s="23" t="s">
        <v>134</v>
      </c>
    </row>
    <row r="29" customFormat="false" ht="15" hidden="false" customHeight="true" outlineLevel="0" collapsed="false">
      <c r="A29" s="19" t="s">
        <v>78</v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0" t="n">
        <f aca="false">Допущения!$B$5*Допущения!$B$40</f>
        <v>1500000</v>
      </c>
      <c r="I29" s="22" t="n">
        <v>0</v>
      </c>
      <c r="J29" s="22" t="n">
        <v>0</v>
      </c>
      <c r="K29" s="22" t="n">
        <f aca="false">SUM(H29:J29)</f>
        <v>1500000</v>
      </c>
      <c r="L29" s="23" t="s">
        <v>134</v>
      </c>
    </row>
    <row r="30" customFormat="false" ht="15" hidden="false" customHeight="true" outlineLevel="0" collapsed="false">
      <c r="A30" s="19" t="s">
        <v>79</v>
      </c>
      <c r="B30" s="22" t="n">
        <v>0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0" t="n">
        <f aca="false">Допущения!$B$5*Допущения!$B$41</f>
        <v>500000</v>
      </c>
      <c r="I30" s="22" t="n">
        <v>0</v>
      </c>
      <c r="J30" s="22" t="n">
        <v>0</v>
      </c>
      <c r="K30" s="22" t="n">
        <f aca="false">SUM(H30:J30)</f>
        <v>500000</v>
      </c>
      <c r="L30" s="23" t="s">
        <v>134</v>
      </c>
    </row>
    <row r="31" customFormat="false" ht="15" hidden="false" customHeight="true" outlineLevel="0" collapsed="false">
      <c r="A31" s="19" t="s">
        <v>136</v>
      </c>
      <c r="B31" s="22" t="n">
        <v>0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0" t="n">
        <f aca="false">Допущения!$B$42</f>
        <v>4000000</v>
      </c>
      <c r="I31" s="22" t="n">
        <v>0</v>
      </c>
      <c r="J31" s="22" t="n">
        <v>0</v>
      </c>
      <c r="K31" s="22" t="n">
        <f aca="false">SUM(H31:J31)</f>
        <v>4000000</v>
      </c>
      <c r="L31" s="23" t="s">
        <v>134</v>
      </c>
    </row>
    <row r="32" customFormat="false" ht="15" hidden="false" customHeight="true" outlineLevel="0" collapsed="false">
      <c r="A32" s="24" t="s">
        <v>137</v>
      </c>
      <c r="B32" s="25" t="n">
        <f aca="false">SUM(B5:B31)</f>
        <v>28300000</v>
      </c>
      <c r="C32" s="25" t="n">
        <f aca="false">SUM(C5:C31)</f>
        <v>20230000</v>
      </c>
      <c r="D32" s="25" t="n">
        <f aca="false">SUM(D5:D31)</f>
        <v>28300000</v>
      </c>
      <c r="E32" s="25" t="n">
        <f aca="false">SUM(E5:E31)</f>
        <v>28300000</v>
      </c>
      <c r="F32" s="25" t="n">
        <f aca="false">SUM(F5:F31)</f>
        <v>28300000</v>
      </c>
      <c r="G32" s="25" t="n">
        <f aca="false">SUM(G5:G31)</f>
        <v>84900000</v>
      </c>
      <c r="H32" s="25" t="n">
        <f aca="false">SUM(H5:H31)</f>
        <v>38778750</v>
      </c>
      <c r="I32" s="25" t="n">
        <f aca="false">SUM(I5:I31)</f>
        <v>20230000</v>
      </c>
      <c r="J32" s="25" t="n">
        <f aca="false">SUM(J5:J31)</f>
        <v>20230000</v>
      </c>
      <c r="K32" s="25" t="n">
        <f aca="false">SUM(K5:K31)</f>
        <v>79238750</v>
      </c>
      <c r="L32" s="26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2" t="s">
        <v>138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8" t="s">
        <v>139</v>
      </c>
      <c r="B35" s="27" t="n">
        <f aca="false">G32</f>
        <v>84900000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8" t="s">
        <v>140</v>
      </c>
      <c r="B36" s="27" t="n">
        <f aca="false">K32</f>
        <v>79238750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8" t="s">
        <v>141</v>
      </c>
      <c r="B37" s="28" t="n">
        <f aca="false">G32-K32</f>
        <v>5661250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8" t="s">
        <v>142</v>
      </c>
      <c r="B38" s="27" t="n">
        <f aca="false">SUM(H27,H28,H29,H30,H31)</f>
        <v>14850000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8" t="s">
        <v>143</v>
      </c>
      <c r="B39" s="29" t="n">
        <f aca="false">IF(B38=0,0,(B37)/B38)</f>
        <v>0.381228956228956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8" t="s">
        <v>144</v>
      </c>
      <c r="B40" s="29" t="n">
        <f aca="false">IF(B32=0,0,(B32-C32)/B32)</f>
        <v>0.285159010600707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8" t="s">
        <v>145</v>
      </c>
      <c r="B41" s="30" t="n">
        <f aca="false">IF((B20+B22+B23)=0,0,((B20+B22+B23)-(C20+C22+C23))/(B20+B22+B23))</f>
        <v>0.687943262411348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8" t="s">
        <v>146</v>
      </c>
      <c r="B42" s="31" t="n">
        <f aca="false">Окупаемость!$J$2</f>
        <v>28</v>
      </c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7"/>
    <col collapsed="false" customWidth="true" hidden="false" outlineLevel="0" max="9" min="9" style="1" width="20"/>
    <col collapsed="false" customWidth="true" hidden="false" outlineLevel="0" max="10" min="10" style="1" width="22"/>
  </cols>
  <sheetData>
    <row r="1" customFormat="false" ht="15" hidden="false" customHeight="true" outlineLevel="0" collapsed="false">
      <c r="A1" s="2" t="s">
        <v>147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2" t="s">
        <v>148</v>
      </c>
      <c r="J2" s="32" t="n">
        <f aca="false">IF(COUNT(H6:H41)=0,"не окупается за 3 года",MIN(H6:H41))</f>
        <v>28</v>
      </c>
    </row>
    <row r="3" customFormat="false" ht="15" hidden="false" customHeight="true" outlineLevel="0" collapsed="false">
      <c r="A3" s="8" t="s">
        <v>149</v>
      </c>
      <c r="B3" s="3"/>
      <c r="C3" s="33" t="n">
        <f aca="false">(TCO!B32-TCO!C32)/Допущения!$B$5/12</f>
        <v>6725</v>
      </c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26.25" hidden="false" customHeight="true" outlineLevel="0" collapsed="false">
      <c r="A5" s="34" t="s">
        <v>150</v>
      </c>
      <c r="B5" s="34" t="s">
        <v>151</v>
      </c>
      <c r="C5" s="34" t="s">
        <v>152</v>
      </c>
      <c r="D5" s="34" t="s">
        <v>153</v>
      </c>
      <c r="E5" s="34" t="s">
        <v>154</v>
      </c>
      <c r="F5" s="34" t="s">
        <v>155</v>
      </c>
      <c r="G5" s="34" t="s">
        <v>156</v>
      </c>
      <c r="H5" s="34" t="s">
        <v>157</v>
      </c>
      <c r="I5" s="3"/>
      <c r="J5" s="3"/>
    </row>
    <row r="6" customFormat="false" ht="15" hidden="false" customHeight="true" outlineLevel="0" collapsed="false">
      <c r="A6" s="35" t="n">
        <v>1</v>
      </c>
      <c r="B6" s="36" t="n">
        <f aca="false">IF(A6&lt;=Допущения!$B$9,Допущения!$B$5/Допущения!$B$9,0)</f>
        <v>8.33333333333333</v>
      </c>
      <c r="C6" s="36" t="n">
        <f aca="false">B6</f>
        <v>8.33333333333333</v>
      </c>
      <c r="D6" s="22" t="n">
        <f aca="false">B6*Допущения!$B$43+IF(A6=1,Допущения!$B$42,0)</f>
        <v>4904166.66666667</v>
      </c>
      <c r="E6" s="22" t="n">
        <f aca="false">C6*$C$3</f>
        <v>56041.6666666667</v>
      </c>
      <c r="F6" s="22" t="n">
        <f aca="false">E6-D6</f>
        <v>-4848125</v>
      </c>
      <c r="G6" s="22" t="n">
        <f aca="false">F6</f>
        <v>-4848125</v>
      </c>
      <c r="H6" s="35" t="str">
        <f aca="false">IF(G6&gt;=0,A6,"")</f>
        <v/>
      </c>
      <c r="I6" s="3"/>
      <c r="J6" s="3"/>
    </row>
    <row r="7" customFormat="false" ht="15" hidden="false" customHeight="true" outlineLevel="0" collapsed="false">
      <c r="A7" s="35" t="n">
        <v>2</v>
      </c>
      <c r="B7" s="36" t="n">
        <f aca="false">IF(A7&lt;=Допущения!$B$9,Допущения!$B$5/Допущения!$B$9,0)</f>
        <v>8.33333333333333</v>
      </c>
      <c r="C7" s="36" t="n">
        <f aca="false">C6+B7</f>
        <v>16.6666666666667</v>
      </c>
      <c r="D7" s="22" t="n">
        <f aca="false">B7*Допущения!$B$43+IF(A7=1,Допущения!$B$42,0)</f>
        <v>904166.666666667</v>
      </c>
      <c r="E7" s="22" t="n">
        <f aca="false">C7*$C$3</f>
        <v>112083.333333333</v>
      </c>
      <c r="F7" s="22" t="n">
        <f aca="false">E7-D7</f>
        <v>-792083.333333333</v>
      </c>
      <c r="G7" s="22" t="n">
        <f aca="false">G6+F7</f>
        <v>-5640208.33333333</v>
      </c>
      <c r="H7" s="35" t="str">
        <f aca="false">IF(AND(G7&gt;=0,G6&lt;0),A7,"")</f>
        <v/>
      </c>
      <c r="I7" s="3"/>
      <c r="J7" s="3"/>
    </row>
    <row r="8" customFormat="false" ht="15" hidden="false" customHeight="true" outlineLevel="0" collapsed="false">
      <c r="A8" s="35" t="n">
        <v>3</v>
      </c>
      <c r="B8" s="36" t="n">
        <f aca="false">IF(A8&lt;=Допущения!$B$9,Допущения!$B$5/Допущения!$B$9,0)</f>
        <v>8.33333333333333</v>
      </c>
      <c r="C8" s="36" t="n">
        <f aca="false">C7+B8</f>
        <v>25</v>
      </c>
      <c r="D8" s="22" t="n">
        <f aca="false">B8*Допущения!$B$43+IF(A8=1,Допущения!$B$42,0)</f>
        <v>904166.666666667</v>
      </c>
      <c r="E8" s="22" t="n">
        <f aca="false">C8*$C$3</f>
        <v>168125</v>
      </c>
      <c r="F8" s="22" t="n">
        <f aca="false">E8-D8</f>
        <v>-736041.666666667</v>
      </c>
      <c r="G8" s="22" t="n">
        <f aca="false">G7+F8</f>
        <v>-6376250</v>
      </c>
      <c r="H8" s="35" t="str">
        <f aca="false">IF(AND(G8&gt;=0,G7&lt;0),A8,"")</f>
        <v/>
      </c>
      <c r="I8" s="3"/>
      <c r="J8" s="3"/>
    </row>
    <row r="9" customFormat="false" ht="15" hidden="false" customHeight="true" outlineLevel="0" collapsed="false">
      <c r="A9" s="35" t="n">
        <v>4</v>
      </c>
      <c r="B9" s="36" t="n">
        <f aca="false">IF(A9&lt;=Допущения!$B$9,Допущения!$B$5/Допущения!$B$9,0)</f>
        <v>8.33333333333333</v>
      </c>
      <c r="C9" s="36" t="n">
        <f aca="false">C8+B9</f>
        <v>33.3333333333333</v>
      </c>
      <c r="D9" s="22" t="n">
        <f aca="false">B9*Допущения!$B$43+IF(A9=1,Допущения!$B$42,0)</f>
        <v>904166.666666667</v>
      </c>
      <c r="E9" s="22" t="n">
        <f aca="false">C9*$C$3</f>
        <v>224166.666666667</v>
      </c>
      <c r="F9" s="22" t="n">
        <f aca="false">E9-D9</f>
        <v>-680000</v>
      </c>
      <c r="G9" s="22" t="n">
        <f aca="false">G8+F9</f>
        <v>-7056250</v>
      </c>
      <c r="H9" s="35" t="str">
        <f aca="false">IF(AND(G9&gt;=0,G8&lt;0),A9,"")</f>
        <v/>
      </c>
      <c r="I9" s="3"/>
      <c r="J9" s="3"/>
    </row>
    <row r="10" customFormat="false" ht="15" hidden="false" customHeight="true" outlineLevel="0" collapsed="false">
      <c r="A10" s="35" t="n">
        <v>5</v>
      </c>
      <c r="B10" s="36" t="n">
        <f aca="false">IF(A10&lt;=Допущения!$B$9,Допущения!$B$5/Допущения!$B$9,0)</f>
        <v>8.33333333333333</v>
      </c>
      <c r="C10" s="36" t="n">
        <f aca="false">C9+B10</f>
        <v>41.6666666666667</v>
      </c>
      <c r="D10" s="22" t="n">
        <f aca="false">B10*Допущения!$B$43+IF(A10=1,Допущения!$B$42,0)</f>
        <v>904166.666666667</v>
      </c>
      <c r="E10" s="22" t="n">
        <f aca="false">C10*$C$3</f>
        <v>280208.333333333</v>
      </c>
      <c r="F10" s="22" t="n">
        <f aca="false">E10-D10</f>
        <v>-623958.333333333</v>
      </c>
      <c r="G10" s="22" t="n">
        <f aca="false">G9+F10</f>
        <v>-7680208.33333333</v>
      </c>
      <c r="H10" s="35" t="str">
        <f aca="false">IF(AND(G10&gt;=0,G9&lt;0),A10,"")</f>
        <v/>
      </c>
      <c r="I10" s="3"/>
      <c r="J10" s="3"/>
    </row>
    <row r="11" customFormat="false" ht="15" hidden="false" customHeight="true" outlineLevel="0" collapsed="false">
      <c r="A11" s="35" t="n">
        <v>6</v>
      </c>
      <c r="B11" s="36" t="n">
        <f aca="false">IF(A11&lt;=Допущения!$B$9,Допущения!$B$5/Допущения!$B$9,0)</f>
        <v>8.33333333333333</v>
      </c>
      <c r="C11" s="36" t="n">
        <f aca="false">C10+B11</f>
        <v>50</v>
      </c>
      <c r="D11" s="22" t="n">
        <f aca="false">B11*Допущения!$B$43+IF(A11=1,Допущения!$B$42,0)</f>
        <v>904166.666666667</v>
      </c>
      <c r="E11" s="22" t="n">
        <f aca="false">C11*$C$3</f>
        <v>336250</v>
      </c>
      <c r="F11" s="22" t="n">
        <f aca="false">E11-D11</f>
        <v>-567916.666666667</v>
      </c>
      <c r="G11" s="22" t="n">
        <f aca="false">G10+F11</f>
        <v>-8248125</v>
      </c>
      <c r="H11" s="35" t="str">
        <f aca="false">IF(AND(G11&gt;=0,G10&lt;0),A11,"")</f>
        <v/>
      </c>
      <c r="I11" s="3"/>
      <c r="J11" s="3"/>
    </row>
    <row r="12" customFormat="false" ht="15" hidden="false" customHeight="true" outlineLevel="0" collapsed="false">
      <c r="A12" s="35" t="n">
        <v>7</v>
      </c>
      <c r="B12" s="36" t="n">
        <f aca="false">IF(A12&lt;=Допущения!$B$9,Допущения!$B$5/Допущения!$B$9,0)</f>
        <v>8.33333333333333</v>
      </c>
      <c r="C12" s="36" t="n">
        <f aca="false">C11+B12</f>
        <v>58.3333333333333</v>
      </c>
      <c r="D12" s="22" t="n">
        <f aca="false">B12*Допущения!$B$43+IF(A12=1,Допущения!$B$42,0)</f>
        <v>904166.666666667</v>
      </c>
      <c r="E12" s="22" t="n">
        <f aca="false">C12*$C$3</f>
        <v>392291.666666667</v>
      </c>
      <c r="F12" s="22" t="n">
        <f aca="false">E12-D12</f>
        <v>-511875</v>
      </c>
      <c r="G12" s="22" t="n">
        <f aca="false">G11+F12</f>
        <v>-8760000</v>
      </c>
      <c r="H12" s="35" t="str">
        <f aca="false">IF(AND(G12&gt;=0,G11&lt;0),A12,"")</f>
        <v/>
      </c>
      <c r="I12" s="3"/>
      <c r="J12" s="3"/>
    </row>
    <row r="13" customFormat="false" ht="15" hidden="false" customHeight="true" outlineLevel="0" collapsed="false">
      <c r="A13" s="35" t="n">
        <v>8</v>
      </c>
      <c r="B13" s="36" t="n">
        <f aca="false">IF(A13&lt;=Допущения!$B$9,Допущения!$B$5/Допущения!$B$9,0)</f>
        <v>8.33333333333333</v>
      </c>
      <c r="C13" s="36" t="n">
        <f aca="false">C12+B13</f>
        <v>66.6666666666667</v>
      </c>
      <c r="D13" s="22" t="n">
        <f aca="false">B13*Допущения!$B$43+IF(A13=1,Допущения!$B$42,0)</f>
        <v>904166.666666667</v>
      </c>
      <c r="E13" s="22" t="n">
        <f aca="false">C13*$C$3</f>
        <v>448333.333333333</v>
      </c>
      <c r="F13" s="22" t="n">
        <f aca="false">E13-D13</f>
        <v>-455833.333333333</v>
      </c>
      <c r="G13" s="22" t="n">
        <f aca="false">G12+F13</f>
        <v>-9215833.33333333</v>
      </c>
      <c r="H13" s="35" t="str">
        <f aca="false">IF(AND(G13&gt;=0,G12&lt;0),A13,"")</f>
        <v/>
      </c>
      <c r="I13" s="3"/>
      <c r="J13" s="3"/>
    </row>
    <row r="14" customFormat="false" ht="15" hidden="false" customHeight="true" outlineLevel="0" collapsed="false">
      <c r="A14" s="35" t="n">
        <v>9</v>
      </c>
      <c r="B14" s="36" t="n">
        <f aca="false">IF(A14&lt;=Допущения!$B$9,Допущения!$B$5/Допущения!$B$9,0)</f>
        <v>8.33333333333333</v>
      </c>
      <c r="C14" s="36" t="n">
        <f aca="false">C13+B14</f>
        <v>75</v>
      </c>
      <c r="D14" s="22" t="n">
        <f aca="false">B14*Допущения!$B$43+IF(A14=1,Допущения!$B$42,0)</f>
        <v>904166.666666667</v>
      </c>
      <c r="E14" s="22" t="n">
        <f aca="false">C14*$C$3</f>
        <v>504375</v>
      </c>
      <c r="F14" s="22" t="n">
        <f aca="false">E14-D14</f>
        <v>-399791.666666667</v>
      </c>
      <c r="G14" s="22" t="n">
        <f aca="false">G13+F14</f>
        <v>-9615625</v>
      </c>
      <c r="H14" s="35" t="str">
        <f aca="false">IF(AND(G14&gt;=0,G13&lt;0),A14,"")</f>
        <v/>
      </c>
      <c r="I14" s="3"/>
      <c r="J14" s="3"/>
    </row>
    <row r="15" customFormat="false" ht="15" hidden="false" customHeight="true" outlineLevel="0" collapsed="false">
      <c r="A15" s="35" t="n">
        <v>10</v>
      </c>
      <c r="B15" s="36" t="n">
        <f aca="false">IF(A15&lt;=Допущения!$B$9,Допущения!$B$5/Допущения!$B$9,0)</f>
        <v>8.33333333333333</v>
      </c>
      <c r="C15" s="36" t="n">
        <f aca="false">C14+B15</f>
        <v>83.3333333333333</v>
      </c>
      <c r="D15" s="22" t="n">
        <f aca="false">B15*Допущения!$B$43+IF(A15=1,Допущения!$B$42,0)</f>
        <v>904166.666666667</v>
      </c>
      <c r="E15" s="22" t="n">
        <f aca="false">C15*$C$3</f>
        <v>560416.666666667</v>
      </c>
      <c r="F15" s="22" t="n">
        <f aca="false">E15-D15</f>
        <v>-343750</v>
      </c>
      <c r="G15" s="22" t="n">
        <f aca="false">G14+F15</f>
        <v>-9959375</v>
      </c>
      <c r="H15" s="35" t="str">
        <f aca="false">IF(AND(G15&gt;=0,G14&lt;0),A15,"")</f>
        <v/>
      </c>
      <c r="I15" s="3"/>
      <c r="J15" s="3"/>
    </row>
    <row r="16" customFormat="false" ht="15" hidden="false" customHeight="true" outlineLevel="0" collapsed="false">
      <c r="A16" s="35" t="n">
        <v>11</v>
      </c>
      <c r="B16" s="36" t="n">
        <f aca="false">IF(A16&lt;=Допущения!$B$9,Допущения!$B$5/Допущения!$B$9,0)</f>
        <v>8.33333333333333</v>
      </c>
      <c r="C16" s="36" t="n">
        <f aca="false">C15+B16</f>
        <v>91.6666666666667</v>
      </c>
      <c r="D16" s="22" t="n">
        <f aca="false">B16*Допущения!$B$43+IF(A16=1,Допущения!$B$42,0)</f>
        <v>904166.666666667</v>
      </c>
      <c r="E16" s="22" t="n">
        <f aca="false">C16*$C$3</f>
        <v>616458.333333333</v>
      </c>
      <c r="F16" s="22" t="n">
        <f aca="false">E16-D16</f>
        <v>-287708.333333334</v>
      </c>
      <c r="G16" s="22" t="n">
        <f aca="false">G15+F16</f>
        <v>-10247083.3333333</v>
      </c>
      <c r="H16" s="35" t="str">
        <f aca="false">IF(AND(G16&gt;=0,G15&lt;0),A16,"")</f>
        <v/>
      </c>
      <c r="I16" s="3"/>
      <c r="J16" s="3"/>
    </row>
    <row r="17" customFormat="false" ht="15" hidden="false" customHeight="true" outlineLevel="0" collapsed="false">
      <c r="A17" s="35" t="n">
        <v>12</v>
      </c>
      <c r="B17" s="36" t="n">
        <f aca="false">IF(A17&lt;=Допущения!$B$9,Допущения!$B$5/Допущения!$B$9,0)</f>
        <v>8.33333333333333</v>
      </c>
      <c r="C17" s="36" t="n">
        <f aca="false">C16+B17</f>
        <v>100</v>
      </c>
      <c r="D17" s="22" t="n">
        <f aca="false">B17*Допущения!$B$43+IF(A17=1,Допущения!$B$42,0)</f>
        <v>904166.666666667</v>
      </c>
      <c r="E17" s="22" t="n">
        <f aca="false">C17*$C$3</f>
        <v>672500</v>
      </c>
      <c r="F17" s="22" t="n">
        <f aca="false">E17-D17</f>
        <v>-231666.666666667</v>
      </c>
      <c r="G17" s="22" t="n">
        <f aca="false">G16+F17</f>
        <v>-10478750</v>
      </c>
      <c r="H17" s="35" t="str">
        <f aca="false">IF(AND(G17&gt;=0,G16&lt;0),A17,"")</f>
        <v/>
      </c>
      <c r="I17" s="3"/>
      <c r="J17" s="3"/>
    </row>
    <row r="18" customFormat="false" ht="15" hidden="false" customHeight="true" outlineLevel="0" collapsed="false">
      <c r="A18" s="35" t="n">
        <v>13</v>
      </c>
      <c r="B18" s="36" t="n">
        <f aca="false">IF(A18&lt;=Допущения!$B$9,Допущения!$B$5/Допущения!$B$9,0)</f>
        <v>0</v>
      </c>
      <c r="C18" s="36" t="n">
        <f aca="false">C17+B18</f>
        <v>100</v>
      </c>
      <c r="D18" s="22" t="n">
        <f aca="false">B18*Допущения!$B$43+IF(A18=1,Допущения!$B$42,0)</f>
        <v>0</v>
      </c>
      <c r="E18" s="22" t="n">
        <f aca="false">C18*$C$3</f>
        <v>672500</v>
      </c>
      <c r="F18" s="22" t="n">
        <f aca="false">E18-D18</f>
        <v>672500</v>
      </c>
      <c r="G18" s="22" t="n">
        <f aca="false">G17+F18</f>
        <v>-9806250</v>
      </c>
      <c r="H18" s="35" t="str">
        <f aca="false">IF(AND(G18&gt;=0,G17&lt;0),A18,"")</f>
        <v/>
      </c>
      <c r="I18" s="3"/>
      <c r="J18" s="3"/>
    </row>
    <row r="19" customFormat="false" ht="15" hidden="false" customHeight="true" outlineLevel="0" collapsed="false">
      <c r="A19" s="35" t="n">
        <v>14</v>
      </c>
      <c r="B19" s="36" t="n">
        <f aca="false">IF(A19&lt;=Допущения!$B$9,Допущения!$B$5/Допущения!$B$9,0)</f>
        <v>0</v>
      </c>
      <c r="C19" s="36" t="n">
        <f aca="false">C18+B19</f>
        <v>100</v>
      </c>
      <c r="D19" s="22" t="n">
        <f aca="false">B19*Допущения!$B$43+IF(A19=1,Допущения!$B$42,0)</f>
        <v>0</v>
      </c>
      <c r="E19" s="22" t="n">
        <f aca="false">C19*$C$3</f>
        <v>672500</v>
      </c>
      <c r="F19" s="22" t="n">
        <f aca="false">E19-D19</f>
        <v>672500</v>
      </c>
      <c r="G19" s="22" t="n">
        <f aca="false">G18+F19</f>
        <v>-9133750</v>
      </c>
      <c r="H19" s="35" t="str">
        <f aca="false">IF(AND(G19&gt;=0,G18&lt;0),A19,"")</f>
        <v/>
      </c>
      <c r="I19" s="3"/>
      <c r="J19" s="3"/>
    </row>
    <row r="20" customFormat="false" ht="15" hidden="false" customHeight="true" outlineLevel="0" collapsed="false">
      <c r="A20" s="35" t="n">
        <v>15</v>
      </c>
      <c r="B20" s="36" t="n">
        <f aca="false">IF(A20&lt;=Допущения!$B$9,Допущения!$B$5/Допущения!$B$9,0)</f>
        <v>0</v>
      </c>
      <c r="C20" s="36" t="n">
        <f aca="false">C19+B20</f>
        <v>100</v>
      </c>
      <c r="D20" s="22" t="n">
        <f aca="false">B20*Допущения!$B$43+IF(A20=1,Допущения!$B$42,0)</f>
        <v>0</v>
      </c>
      <c r="E20" s="22" t="n">
        <f aca="false">C20*$C$3</f>
        <v>672500</v>
      </c>
      <c r="F20" s="22" t="n">
        <f aca="false">E20-D20</f>
        <v>672500</v>
      </c>
      <c r="G20" s="22" t="n">
        <f aca="false">G19+F20</f>
        <v>-8461250</v>
      </c>
      <c r="H20" s="35" t="str">
        <f aca="false">IF(AND(G20&gt;=0,G19&lt;0),A20,"")</f>
        <v/>
      </c>
      <c r="I20" s="3"/>
      <c r="J20" s="3"/>
    </row>
    <row r="21" customFormat="false" ht="15" hidden="false" customHeight="true" outlineLevel="0" collapsed="false">
      <c r="A21" s="35" t="n">
        <v>16</v>
      </c>
      <c r="B21" s="36" t="n">
        <f aca="false">IF(A21&lt;=Допущения!$B$9,Допущения!$B$5/Допущения!$B$9,0)</f>
        <v>0</v>
      </c>
      <c r="C21" s="36" t="n">
        <f aca="false">C20+B21</f>
        <v>100</v>
      </c>
      <c r="D21" s="22" t="n">
        <f aca="false">B21*Допущения!$B$43+IF(A21=1,Допущения!$B$42,0)</f>
        <v>0</v>
      </c>
      <c r="E21" s="22" t="n">
        <f aca="false">C21*$C$3</f>
        <v>672500</v>
      </c>
      <c r="F21" s="22" t="n">
        <f aca="false">E21-D21</f>
        <v>672500</v>
      </c>
      <c r="G21" s="22" t="n">
        <f aca="false">G20+F21</f>
        <v>-7788750</v>
      </c>
      <c r="H21" s="35" t="str">
        <f aca="false">IF(AND(G21&gt;=0,G20&lt;0),A21,"")</f>
        <v/>
      </c>
      <c r="I21" s="3"/>
      <c r="J21" s="3"/>
    </row>
    <row r="22" customFormat="false" ht="15" hidden="false" customHeight="true" outlineLevel="0" collapsed="false">
      <c r="A22" s="35" t="n">
        <v>17</v>
      </c>
      <c r="B22" s="36" t="n">
        <f aca="false">IF(A22&lt;=Допущения!$B$9,Допущения!$B$5/Допущения!$B$9,0)</f>
        <v>0</v>
      </c>
      <c r="C22" s="36" t="n">
        <f aca="false">C21+B22</f>
        <v>100</v>
      </c>
      <c r="D22" s="22" t="n">
        <f aca="false">B22*Допущения!$B$43+IF(A22=1,Допущения!$B$42,0)</f>
        <v>0</v>
      </c>
      <c r="E22" s="22" t="n">
        <f aca="false">C22*$C$3</f>
        <v>672500</v>
      </c>
      <c r="F22" s="22" t="n">
        <f aca="false">E22-D22</f>
        <v>672500</v>
      </c>
      <c r="G22" s="22" t="n">
        <f aca="false">G21+F22</f>
        <v>-7116250</v>
      </c>
      <c r="H22" s="35" t="str">
        <f aca="false">IF(AND(G22&gt;=0,G21&lt;0),A22,"")</f>
        <v/>
      </c>
      <c r="I22" s="3"/>
      <c r="J22" s="3"/>
    </row>
    <row r="23" customFormat="false" ht="15" hidden="false" customHeight="true" outlineLevel="0" collapsed="false">
      <c r="A23" s="35" t="n">
        <v>18</v>
      </c>
      <c r="B23" s="36" t="n">
        <f aca="false">IF(A23&lt;=Допущения!$B$9,Допущения!$B$5/Допущения!$B$9,0)</f>
        <v>0</v>
      </c>
      <c r="C23" s="36" t="n">
        <f aca="false">C22+B23</f>
        <v>100</v>
      </c>
      <c r="D23" s="22" t="n">
        <f aca="false">B23*Допущения!$B$43+IF(A23=1,Допущения!$B$42,0)</f>
        <v>0</v>
      </c>
      <c r="E23" s="22" t="n">
        <f aca="false">C23*$C$3</f>
        <v>672500</v>
      </c>
      <c r="F23" s="22" t="n">
        <f aca="false">E23-D23</f>
        <v>672500</v>
      </c>
      <c r="G23" s="22" t="n">
        <f aca="false">G22+F23</f>
        <v>-6443750</v>
      </c>
      <c r="H23" s="35" t="str">
        <f aca="false">IF(AND(G23&gt;=0,G22&lt;0),A23,"")</f>
        <v/>
      </c>
      <c r="I23" s="3"/>
      <c r="J23" s="3"/>
    </row>
    <row r="24" customFormat="false" ht="15" hidden="false" customHeight="true" outlineLevel="0" collapsed="false">
      <c r="A24" s="35" t="n">
        <v>19</v>
      </c>
      <c r="B24" s="36" t="n">
        <f aca="false">IF(A24&lt;=Допущения!$B$9,Допущения!$B$5/Допущения!$B$9,0)</f>
        <v>0</v>
      </c>
      <c r="C24" s="36" t="n">
        <f aca="false">C23+B24</f>
        <v>100</v>
      </c>
      <c r="D24" s="22" t="n">
        <f aca="false">B24*Допущения!$B$43+IF(A24=1,Допущения!$B$42,0)</f>
        <v>0</v>
      </c>
      <c r="E24" s="22" t="n">
        <f aca="false">C24*$C$3</f>
        <v>672500</v>
      </c>
      <c r="F24" s="22" t="n">
        <f aca="false">E24-D24</f>
        <v>672500</v>
      </c>
      <c r="G24" s="22" t="n">
        <f aca="false">G23+F24</f>
        <v>-5771250</v>
      </c>
      <c r="H24" s="35" t="str">
        <f aca="false">IF(AND(G24&gt;=0,G23&lt;0),A24,"")</f>
        <v/>
      </c>
      <c r="I24" s="3"/>
      <c r="J24" s="3"/>
    </row>
    <row r="25" customFormat="false" ht="15" hidden="false" customHeight="true" outlineLevel="0" collapsed="false">
      <c r="A25" s="35" t="n">
        <v>20</v>
      </c>
      <c r="B25" s="36" t="n">
        <f aca="false">IF(A25&lt;=Допущения!$B$9,Допущения!$B$5/Допущения!$B$9,0)</f>
        <v>0</v>
      </c>
      <c r="C25" s="36" t="n">
        <f aca="false">C24+B25</f>
        <v>100</v>
      </c>
      <c r="D25" s="22" t="n">
        <f aca="false">B25*Допущения!$B$43+IF(A25=1,Допущения!$B$42,0)</f>
        <v>0</v>
      </c>
      <c r="E25" s="22" t="n">
        <f aca="false">C25*$C$3</f>
        <v>672500</v>
      </c>
      <c r="F25" s="22" t="n">
        <f aca="false">E25-D25</f>
        <v>672500</v>
      </c>
      <c r="G25" s="22" t="n">
        <f aca="false">G24+F25</f>
        <v>-5098750</v>
      </c>
      <c r="H25" s="35" t="str">
        <f aca="false">IF(AND(G25&gt;=0,G24&lt;0),A25,"")</f>
        <v/>
      </c>
      <c r="I25" s="3"/>
      <c r="J25" s="3"/>
    </row>
    <row r="26" customFormat="false" ht="15" hidden="false" customHeight="true" outlineLevel="0" collapsed="false">
      <c r="A26" s="35" t="n">
        <v>21</v>
      </c>
      <c r="B26" s="36" t="n">
        <f aca="false">IF(A26&lt;=Допущения!$B$9,Допущения!$B$5/Допущения!$B$9,0)</f>
        <v>0</v>
      </c>
      <c r="C26" s="36" t="n">
        <f aca="false">C25+B26</f>
        <v>100</v>
      </c>
      <c r="D26" s="22" t="n">
        <f aca="false">B26*Допущения!$B$43+IF(A26=1,Допущения!$B$42,0)</f>
        <v>0</v>
      </c>
      <c r="E26" s="22" t="n">
        <f aca="false">C26*$C$3</f>
        <v>672500</v>
      </c>
      <c r="F26" s="22" t="n">
        <f aca="false">E26-D26</f>
        <v>672500</v>
      </c>
      <c r="G26" s="22" t="n">
        <f aca="false">G25+F26</f>
        <v>-4426250</v>
      </c>
      <c r="H26" s="35" t="str">
        <f aca="false">IF(AND(G26&gt;=0,G25&lt;0),A26,"")</f>
        <v/>
      </c>
      <c r="I26" s="3"/>
      <c r="J26" s="3"/>
    </row>
    <row r="27" customFormat="false" ht="15" hidden="false" customHeight="true" outlineLevel="0" collapsed="false">
      <c r="A27" s="35" t="n">
        <v>22</v>
      </c>
      <c r="B27" s="36" t="n">
        <f aca="false">IF(A27&lt;=Допущения!$B$9,Допущения!$B$5/Допущения!$B$9,0)</f>
        <v>0</v>
      </c>
      <c r="C27" s="36" t="n">
        <f aca="false">C26+B27</f>
        <v>100</v>
      </c>
      <c r="D27" s="22" t="n">
        <f aca="false">B27*Допущения!$B$43+IF(A27=1,Допущения!$B$42,0)</f>
        <v>0</v>
      </c>
      <c r="E27" s="22" t="n">
        <f aca="false">C27*$C$3</f>
        <v>672500</v>
      </c>
      <c r="F27" s="22" t="n">
        <f aca="false">E27-D27</f>
        <v>672500</v>
      </c>
      <c r="G27" s="22" t="n">
        <f aca="false">G26+F27</f>
        <v>-3753750</v>
      </c>
      <c r="H27" s="35" t="str">
        <f aca="false">IF(AND(G27&gt;=0,G26&lt;0),A27,"")</f>
        <v/>
      </c>
      <c r="I27" s="3"/>
      <c r="J27" s="3"/>
    </row>
    <row r="28" customFormat="false" ht="15" hidden="false" customHeight="true" outlineLevel="0" collapsed="false">
      <c r="A28" s="35" t="n">
        <v>23</v>
      </c>
      <c r="B28" s="36" t="n">
        <f aca="false">IF(A28&lt;=Допущения!$B$9,Допущения!$B$5/Допущения!$B$9,0)</f>
        <v>0</v>
      </c>
      <c r="C28" s="36" t="n">
        <f aca="false">C27+B28</f>
        <v>100</v>
      </c>
      <c r="D28" s="22" t="n">
        <f aca="false">B28*Допущения!$B$43+IF(A28=1,Допущения!$B$42,0)</f>
        <v>0</v>
      </c>
      <c r="E28" s="22" t="n">
        <f aca="false">C28*$C$3</f>
        <v>672500</v>
      </c>
      <c r="F28" s="22" t="n">
        <f aca="false">E28-D28</f>
        <v>672500</v>
      </c>
      <c r="G28" s="22" t="n">
        <f aca="false">G27+F28</f>
        <v>-3081250</v>
      </c>
      <c r="H28" s="35" t="str">
        <f aca="false">IF(AND(G28&gt;=0,G27&lt;0),A28,"")</f>
        <v/>
      </c>
      <c r="I28" s="3"/>
      <c r="J28" s="3"/>
    </row>
    <row r="29" customFormat="false" ht="15" hidden="false" customHeight="true" outlineLevel="0" collapsed="false">
      <c r="A29" s="35" t="n">
        <v>24</v>
      </c>
      <c r="B29" s="36" t="n">
        <f aca="false">IF(A29&lt;=Допущения!$B$9,Допущения!$B$5/Допущения!$B$9,0)</f>
        <v>0</v>
      </c>
      <c r="C29" s="36" t="n">
        <f aca="false">C28+B29</f>
        <v>100</v>
      </c>
      <c r="D29" s="22" t="n">
        <f aca="false">B29*Допущения!$B$43+IF(A29=1,Допущения!$B$42,0)</f>
        <v>0</v>
      </c>
      <c r="E29" s="22" t="n">
        <f aca="false">C29*$C$3</f>
        <v>672500</v>
      </c>
      <c r="F29" s="22" t="n">
        <f aca="false">E29-D29</f>
        <v>672500</v>
      </c>
      <c r="G29" s="22" t="n">
        <f aca="false">G28+F29</f>
        <v>-2408750</v>
      </c>
      <c r="H29" s="35" t="str">
        <f aca="false">IF(AND(G29&gt;=0,G28&lt;0),A29,"")</f>
        <v/>
      </c>
      <c r="I29" s="3"/>
      <c r="J29" s="3"/>
    </row>
    <row r="30" customFormat="false" ht="15" hidden="false" customHeight="true" outlineLevel="0" collapsed="false">
      <c r="A30" s="35" t="n">
        <v>25</v>
      </c>
      <c r="B30" s="36" t="n">
        <f aca="false">IF(A30&lt;=Допущения!$B$9,Допущения!$B$5/Допущения!$B$9,0)</f>
        <v>0</v>
      </c>
      <c r="C30" s="36" t="n">
        <f aca="false">C29+B30</f>
        <v>100</v>
      </c>
      <c r="D30" s="22" t="n">
        <f aca="false">B30*Допущения!$B$43+IF(A30=1,Допущения!$B$42,0)</f>
        <v>0</v>
      </c>
      <c r="E30" s="22" t="n">
        <f aca="false">C30*$C$3</f>
        <v>672500</v>
      </c>
      <c r="F30" s="22" t="n">
        <f aca="false">E30-D30</f>
        <v>672500</v>
      </c>
      <c r="G30" s="22" t="n">
        <f aca="false">G29+F30</f>
        <v>-1736250</v>
      </c>
      <c r="H30" s="35" t="str">
        <f aca="false">IF(AND(G30&gt;=0,G29&lt;0),A30,"")</f>
        <v/>
      </c>
      <c r="I30" s="3"/>
      <c r="J30" s="3"/>
    </row>
    <row r="31" customFormat="false" ht="15" hidden="false" customHeight="true" outlineLevel="0" collapsed="false">
      <c r="A31" s="35" t="n">
        <v>26</v>
      </c>
      <c r="B31" s="36" t="n">
        <f aca="false">IF(A31&lt;=Допущения!$B$9,Допущения!$B$5/Допущения!$B$9,0)</f>
        <v>0</v>
      </c>
      <c r="C31" s="36" t="n">
        <f aca="false">C30+B31</f>
        <v>100</v>
      </c>
      <c r="D31" s="22" t="n">
        <f aca="false">B31*Допущения!$B$43+IF(A31=1,Допущения!$B$42,0)</f>
        <v>0</v>
      </c>
      <c r="E31" s="22" t="n">
        <f aca="false">C31*$C$3</f>
        <v>672500</v>
      </c>
      <c r="F31" s="22" t="n">
        <f aca="false">E31-D31</f>
        <v>672500</v>
      </c>
      <c r="G31" s="22" t="n">
        <f aca="false">G30+F31</f>
        <v>-1063750</v>
      </c>
      <c r="H31" s="35" t="str">
        <f aca="false">IF(AND(G31&gt;=0,G30&lt;0),A31,"")</f>
        <v/>
      </c>
      <c r="I31" s="3"/>
      <c r="J31" s="3"/>
    </row>
    <row r="32" customFormat="false" ht="15" hidden="false" customHeight="true" outlineLevel="0" collapsed="false">
      <c r="A32" s="35" t="n">
        <v>27</v>
      </c>
      <c r="B32" s="36" t="n">
        <f aca="false">IF(A32&lt;=Допущения!$B$9,Допущения!$B$5/Допущения!$B$9,0)</f>
        <v>0</v>
      </c>
      <c r="C32" s="36" t="n">
        <f aca="false">C31+B32</f>
        <v>100</v>
      </c>
      <c r="D32" s="22" t="n">
        <f aca="false">B32*Допущения!$B$43+IF(A32=1,Допущения!$B$42,0)</f>
        <v>0</v>
      </c>
      <c r="E32" s="22" t="n">
        <f aca="false">C32*$C$3</f>
        <v>672500</v>
      </c>
      <c r="F32" s="22" t="n">
        <f aca="false">E32-D32</f>
        <v>672500</v>
      </c>
      <c r="G32" s="22" t="n">
        <f aca="false">G31+F32</f>
        <v>-391250</v>
      </c>
      <c r="H32" s="35" t="str">
        <f aca="false">IF(AND(G32&gt;=0,G31&lt;0),A32,"")</f>
        <v/>
      </c>
      <c r="I32" s="3"/>
      <c r="J32" s="3"/>
    </row>
    <row r="33" customFormat="false" ht="15" hidden="false" customHeight="true" outlineLevel="0" collapsed="false">
      <c r="A33" s="35" t="n">
        <v>28</v>
      </c>
      <c r="B33" s="36" t="n">
        <f aca="false">IF(A33&lt;=Допущения!$B$9,Допущения!$B$5/Допущения!$B$9,0)</f>
        <v>0</v>
      </c>
      <c r="C33" s="36" t="n">
        <f aca="false">C32+B33</f>
        <v>100</v>
      </c>
      <c r="D33" s="22" t="n">
        <f aca="false">B33*Допущения!$B$43+IF(A33=1,Допущения!$B$42,0)</f>
        <v>0</v>
      </c>
      <c r="E33" s="22" t="n">
        <f aca="false">C33*$C$3</f>
        <v>672500</v>
      </c>
      <c r="F33" s="22" t="n">
        <f aca="false">E33-D33</f>
        <v>672500</v>
      </c>
      <c r="G33" s="22" t="n">
        <f aca="false">G32+F33</f>
        <v>281250</v>
      </c>
      <c r="H33" s="35" t="n">
        <f aca="false">IF(AND(G33&gt;=0,G32&lt;0),A33,"")</f>
        <v>28</v>
      </c>
      <c r="I33" s="3"/>
      <c r="J33" s="3"/>
    </row>
    <row r="34" customFormat="false" ht="15" hidden="false" customHeight="true" outlineLevel="0" collapsed="false">
      <c r="A34" s="35" t="n">
        <v>29</v>
      </c>
      <c r="B34" s="36" t="n">
        <f aca="false">IF(A34&lt;=Допущения!$B$9,Допущения!$B$5/Допущения!$B$9,0)</f>
        <v>0</v>
      </c>
      <c r="C34" s="36" t="n">
        <f aca="false">C33+B34</f>
        <v>100</v>
      </c>
      <c r="D34" s="22" t="n">
        <f aca="false">B34*Допущения!$B$43+IF(A34=1,Допущения!$B$42,0)</f>
        <v>0</v>
      </c>
      <c r="E34" s="22" t="n">
        <f aca="false">C34*$C$3</f>
        <v>672500</v>
      </c>
      <c r="F34" s="22" t="n">
        <f aca="false">E34-D34</f>
        <v>672500</v>
      </c>
      <c r="G34" s="22" t="n">
        <f aca="false">G33+F34</f>
        <v>953750</v>
      </c>
      <c r="H34" s="35" t="str">
        <f aca="false">IF(AND(G34&gt;=0,G33&lt;0),A34,"")</f>
        <v/>
      </c>
      <c r="I34" s="3"/>
      <c r="J34" s="3"/>
    </row>
    <row r="35" customFormat="false" ht="15" hidden="false" customHeight="true" outlineLevel="0" collapsed="false">
      <c r="A35" s="35" t="n">
        <v>30</v>
      </c>
      <c r="B35" s="36" t="n">
        <f aca="false">IF(A35&lt;=Допущения!$B$9,Допущения!$B$5/Допущения!$B$9,0)</f>
        <v>0</v>
      </c>
      <c r="C35" s="36" t="n">
        <f aca="false">C34+B35</f>
        <v>100</v>
      </c>
      <c r="D35" s="22" t="n">
        <f aca="false">B35*Допущения!$B$43+IF(A35=1,Допущения!$B$42,0)</f>
        <v>0</v>
      </c>
      <c r="E35" s="22" t="n">
        <f aca="false">C35*$C$3</f>
        <v>672500</v>
      </c>
      <c r="F35" s="22" t="n">
        <f aca="false">E35-D35</f>
        <v>672500</v>
      </c>
      <c r="G35" s="22" t="n">
        <f aca="false">G34+F35</f>
        <v>1626250</v>
      </c>
      <c r="H35" s="35" t="str">
        <f aca="false">IF(AND(G35&gt;=0,G34&lt;0),A35,"")</f>
        <v/>
      </c>
      <c r="I35" s="3"/>
      <c r="J35" s="3"/>
    </row>
    <row r="36" customFormat="false" ht="15" hidden="false" customHeight="true" outlineLevel="0" collapsed="false">
      <c r="A36" s="35" t="n">
        <v>31</v>
      </c>
      <c r="B36" s="36" t="n">
        <f aca="false">IF(A36&lt;=Допущения!$B$9,Допущения!$B$5/Допущения!$B$9,0)</f>
        <v>0</v>
      </c>
      <c r="C36" s="36" t="n">
        <f aca="false">C35+B36</f>
        <v>100</v>
      </c>
      <c r="D36" s="22" t="n">
        <f aca="false">B36*Допущения!$B$43+IF(A36=1,Допущения!$B$42,0)</f>
        <v>0</v>
      </c>
      <c r="E36" s="22" t="n">
        <f aca="false">C36*$C$3</f>
        <v>672500</v>
      </c>
      <c r="F36" s="22" t="n">
        <f aca="false">E36-D36</f>
        <v>672500</v>
      </c>
      <c r="G36" s="22" t="n">
        <f aca="false">G35+F36</f>
        <v>2298750</v>
      </c>
      <c r="H36" s="35" t="str">
        <f aca="false">IF(AND(G36&gt;=0,G35&lt;0),A36,"")</f>
        <v/>
      </c>
      <c r="I36" s="3"/>
      <c r="J36" s="3"/>
    </row>
    <row r="37" customFormat="false" ht="15" hidden="false" customHeight="true" outlineLevel="0" collapsed="false">
      <c r="A37" s="35" t="n">
        <v>32</v>
      </c>
      <c r="B37" s="36" t="n">
        <f aca="false">IF(A37&lt;=Допущения!$B$9,Допущения!$B$5/Допущения!$B$9,0)</f>
        <v>0</v>
      </c>
      <c r="C37" s="36" t="n">
        <f aca="false">C36+B37</f>
        <v>100</v>
      </c>
      <c r="D37" s="22" t="n">
        <f aca="false">B37*Допущения!$B$43+IF(A37=1,Допущения!$B$42,0)</f>
        <v>0</v>
      </c>
      <c r="E37" s="22" t="n">
        <f aca="false">C37*$C$3</f>
        <v>672500</v>
      </c>
      <c r="F37" s="22" t="n">
        <f aca="false">E37-D37</f>
        <v>672500</v>
      </c>
      <c r="G37" s="22" t="n">
        <f aca="false">G36+F37</f>
        <v>2971250</v>
      </c>
      <c r="H37" s="35" t="str">
        <f aca="false">IF(AND(G37&gt;=0,G36&lt;0),A37,"")</f>
        <v/>
      </c>
      <c r="I37" s="3"/>
      <c r="J37" s="3"/>
    </row>
    <row r="38" customFormat="false" ht="15" hidden="false" customHeight="true" outlineLevel="0" collapsed="false">
      <c r="A38" s="35" t="n">
        <v>33</v>
      </c>
      <c r="B38" s="36" t="n">
        <f aca="false">IF(A38&lt;=Допущения!$B$9,Допущения!$B$5/Допущения!$B$9,0)</f>
        <v>0</v>
      </c>
      <c r="C38" s="36" t="n">
        <f aca="false">C37+B38</f>
        <v>100</v>
      </c>
      <c r="D38" s="22" t="n">
        <f aca="false">B38*Допущения!$B$43+IF(A38=1,Допущения!$B$42,0)</f>
        <v>0</v>
      </c>
      <c r="E38" s="22" t="n">
        <f aca="false">C38*$C$3</f>
        <v>672500</v>
      </c>
      <c r="F38" s="22" t="n">
        <f aca="false">E38-D38</f>
        <v>672500</v>
      </c>
      <c r="G38" s="22" t="n">
        <f aca="false">G37+F38</f>
        <v>3643750</v>
      </c>
      <c r="H38" s="35" t="str">
        <f aca="false">IF(AND(G38&gt;=0,G37&lt;0),A38,"")</f>
        <v/>
      </c>
      <c r="I38" s="3"/>
      <c r="J38" s="3"/>
    </row>
    <row r="39" customFormat="false" ht="15" hidden="false" customHeight="true" outlineLevel="0" collapsed="false">
      <c r="A39" s="35" t="n">
        <v>34</v>
      </c>
      <c r="B39" s="36" t="n">
        <f aca="false">IF(A39&lt;=Допущения!$B$9,Допущения!$B$5/Допущения!$B$9,0)</f>
        <v>0</v>
      </c>
      <c r="C39" s="36" t="n">
        <f aca="false">C38+B39</f>
        <v>100</v>
      </c>
      <c r="D39" s="22" t="n">
        <f aca="false">B39*Допущения!$B$43+IF(A39=1,Допущения!$B$42,0)</f>
        <v>0</v>
      </c>
      <c r="E39" s="22" t="n">
        <f aca="false">C39*$C$3</f>
        <v>672500</v>
      </c>
      <c r="F39" s="22" t="n">
        <f aca="false">E39-D39</f>
        <v>672500</v>
      </c>
      <c r="G39" s="22" t="n">
        <f aca="false">G38+F39</f>
        <v>4316250</v>
      </c>
      <c r="H39" s="35" t="str">
        <f aca="false">IF(AND(G39&gt;=0,G38&lt;0),A39,"")</f>
        <v/>
      </c>
      <c r="I39" s="3"/>
      <c r="J39" s="3"/>
    </row>
    <row r="40" customFormat="false" ht="15" hidden="false" customHeight="true" outlineLevel="0" collapsed="false">
      <c r="A40" s="35" t="n">
        <v>35</v>
      </c>
      <c r="B40" s="36" t="n">
        <f aca="false">IF(A40&lt;=Допущения!$B$9,Допущения!$B$5/Допущения!$B$9,0)</f>
        <v>0</v>
      </c>
      <c r="C40" s="36" t="n">
        <f aca="false">C39+B40</f>
        <v>100</v>
      </c>
      <c r="D40" s="22" t="n">
        <f aca="false">B40*Допущения!$B$43+IF(A40=1,Допущения!$B$42,0)</f>
        <v>0</v>
      </c>
      <c r="E40" s="22" t="n">
        <f aca="false">C40*$C$3</f>
        <v>672500</v>
      </c>
      <c r="F40" s="22" t="n">
        <f aca="false">E40-D40</f>
        <v>672500</v>
      </c>
      <c r="G40" s="22" t="n">
        <f aca="false">G39+F40</f>
        <v>4988750</v>
      </c>
      <c r="H40" s="35" t="str">
        <f aca="false">IF(AND(G40&gt;=0,G39&lt;0),A40,"")</f>
        <v/>
      </c>
      <c r="I40" s="3"/>
      <c r="J40" s="3"/>
    </row>
    <row r="41" customFormat="false" ht="15" hidden="false" customHeight="true" outlineLevel="0" collapsed="false">
      <c r="A41" s="35" t="n">
        <v>36</v>
      </c>
      <c r="B41" s="36" t="n">
        <f aca="false">IF(A41&lt;=Допущения!$B$9,Допущения!$B$5/Допущения!$B$9,0)</f>
        <v>0</v>
      </c>
      <c r="C41" s="36" t="n">
        <f aca="false">C40+B41</f>
        <v>100</v>
      </c>
      <c r="D41" s="22" t="n">
        <f aca="false">B41*Допущения!$B$43+IF(A41=1,Допущения!$B$42,0)</f>
        <v>0</v>
      </c>
      <c r="E41" s="22" t="n">
        <f aca="false">C41*$C$3</f>
        <v>672500</v>
      </c>
      <c r="F41" s="22" t="n">
        <f aca="false">E41-D41</f>
        <v>672500</v>
      </c>
      <c r="G41" s="22" t="n">
        <f aca="false">G40+F41</f>
        <v>5661250</v>
      </c>
      <c r="H41" s="35" t="str">
        <f aca="false">IF(AND(G41&gt;=0,G40&lt;0),A41,"")</f>
        <v/>
      </c>
      <c r="I41" s="3"/>
      <c r="J4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LibreOffice/24.2.5.2$MacOSX_AARCH64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2026-10-03T07:45:09Z</dcterms:created>
  <dc:creator>openpyxl</dc:creator>
  <dc:description/>
  <dc:language>ru-RU</dc:language>
  <cp:lastModifiedBy/>
  <dcterms:modified xsi:type="dcterms:W3CDTF">2026-10-03T07:46:13Z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